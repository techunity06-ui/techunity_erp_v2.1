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-120" yWindow="-120" windowWidth="20730" windowHeight="11160" tabRatio="733" activeTab="1"/>
  </bookViews>
  <sheets>
    <sheet name="SUMMARY" sheetId="20" r:id="rId1"/>
    <sheet name="ANNEXURE" sheetId="18" r:id="rId2"/>
    <sheet name="01_1.35 KL" sheetId="17" r:id="rId3"/>
    <sheet name="02 &amp; 04_0.02 KL" sheetId="22" r:id="rId4"/>
    <sheet name="03_0.330 KL" sheetId="23" r:id="rId5"/>
    <sheet name="05_0.942 KL" sheetId="24" r:id="rId6"/>
    <sheet name="06_0.330 KL" sheetId="25" r:id="rId7"/>
    <sheet name="RESIN RATE" sheetId="19" r:id="rId8"/>
    <sheet name="THK" sheetId="21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xlnm._FilterDatabase" localSheetId="2" hidden="1">'01_1.35 KL'!$L$84:$N$114</definedName>
    <definedName name="_xlnm._FilterDatabase" localSheetId="3" hidden="1">'02 &amp; 04_0.02 KL'!$L$84:$N$114</definedName>
    <definedName name="_xlnm._FilterDatabase" localSheetId="4" hidden="1">'03_0.330 KL'!$L$84:$N$114</definedName>
    <definedName name="_xlnm._FilterDatabase" localSheetId="5" hidden="1">'05_0.942 KL'!$L$84:$N$115</definedName>
    <definedName name="_xlnm._FilterDatabase" localSheetId="6" hidden="1">'06_0.330 KL'!$L$84:$N$115</definedName>
    <definedName name="ABGLE" localSheetId="2">#REF!</definedName>
    <definedName name="ABGLE" localSheetId="3">#REF!</definedName>
    <definedName name="ABGLE" localSheetId="4">#REF!</definedName>
    <definedName name="ABGLE" localSheetId="5">#REF!</definedName>
    <definedName name="ABGLE" localSheetId="6">#REF!</definedName>
    <definedName name="ABGLE" localSheetId="1">#REF!</definedName>
    <definedName name="ABGLE" localSheetId="7">#REF!</definedName>
    <definedName name="ABGLE" localSheetId="0">#REF!</definedName>
    <definedName name="ABGLE" localSheetId="8">#REF!</definedName>
    <definedName name="ABGLE">#REF!</definedName>
    <definedName name="AI" localSheetId="3">#REF!</definedName>
    <definedName name="AI" localSheetId="4">#REF!</definedName>
    <definedName name="AI" localSheetId="5">#REF!</definedName>
    <definedName name="AI" localSheetId="6">#REF!</definedName>
    <definedName name="AI" localSheetId="1">#REF!</definedName>
    <definedName name="AI" localSheetId="7">#REF!</definedName>
    <definedName name="AI" localSheetId="8">#REF!</definedName>
    <definedName name="AI">#REF!</definedName>
    <definedName name="ANGLE" localSheetId="2">'01_1.35 KL'!$D$12</definedName>
    <definedName name="ANGLE" localSheetId="3">'02 &amp; 04_0.02 KL'!$D$12</definedName>
    <definedName name="ANGLE" localSheetId="4">'03_0.330 KL'!$D$12</definedName>
    <definedName name="ANGLE" localSheetId="5">'05_0.942 KL'!$D$12</definedName>
    <definedName name="ANGLE" localSheetId="6">'06_0.330 KL'!$D$12</definedName>
    <definedName name="ANGLE" localSheetId="1">#REF!</definedName>
    <definedName name="ANGLE" localSheetId="7">#REF!</definedName>
    <definedName name="ANGLE" localSheetId="0">'[1]1_5 KL PP FRP TANK'!$C$9</definedName>
    <definedName name="ANGLE" localSheetId="8">'[1]1_5 KL PP FRP TANK'!$C$9</definedName>
    <definedName name="ANGLE">#REF!</definedName>
    <definedName name="ANGLE2" localSheetId="2">#REF!</definedName>
    <definedName name="ANGLE2" localSheetId="3">#REF!</definedName>
    <definedName name="ANGLE2" localSheetId="4">#REF!</definedName>
    <definedName name="ANGLE2" localSheetId="5">#REF!</definedName>
    <definedName name="ANGLE2" localSheetId="6">#REF!</definedName>
    <definedName name="ANGLE2" localSheetId="1">#REF!</definedName>
    <definedName name="ANGLE2" localSheetId="7">'[2]PCS WITH INBUILT TANK'!$E$15</definedName>
    <definedName name="ANGLE2" localSheetId="0">#REF!</definedName>
    <definedName name="ANGLE2" localSheetId="8">#REF!</definedName>
    <definedName name="ANGLE2">#REF!</definedName>
    <definedName name="AREA" localSheetId="2">'01_1.35 KL'!$U$40:$U$57</definedName>
    <definedName name="AREA" localSheetId="3">'02 &amp; 04_0.02 KL'!$U$40:$U$57</definedName>
    <definedName name="AREA" localSheetId="4">'03_0.330 KL'!$U$40:$U$57</definedName>
    <definedName name="AREA" localSheetId="5">'05_0.942 KL'!$U$40:$U$57</definedName>
    <definedName name="AREA" localSheetId="6">'06_0.330 KL'!$U$40:$U$57</definedName>
    <definedName name="AREA" localSheetId="1">#REF!</definedName>
    <definedName name="AREA" localSheetId="7">#REF!</definedName>
    <definedName name="AREA" localSheetId="0">#REF!</definedName>
    <definedName name="AREA" localSheetId="8">#REF!</definedName>
    <definedName name="AREA">#REF!</definedName>
    <definedName name="AREA1" localSheetId="2">'01_1.35 KL'!$U$39:$U$57</definedName>
    <definedName name="AREA1" localSheetId="3">'02 &amp; 04_0.02 KL'!$U$39:$U$57</definedName>
    <definedName name="AREA1" localSheetId="4">'03_0.330 KL'!$U$39:$U$57</definedName>
    <definedName name="AREA1" localSheetId="5">'05_0.942 KL'!$U$39:$U$57</definedName>
    <definedName name="AREA1" localSheetId="6">'06_0.330 KL'!$U$39:$U$57</definedName>
    <definedName name="AREA1" localSheetId="1">#REF!</definedName>
    <definedName name="AREA1" localSheetId="7">#REF!</definedName>
    <definedName name="AREA1" localSheetId="0">#REF!</definedName>
    <definedName name="AREA1" localSheetId="8">#REF!</definedName>
    <definedName name="AREA1">#REF!</definedName>
    <definedName name="B.ANGLE" localSheetId="2">'01_1.35 KL'!#REF!</definedName>
    <definedName name="B.ANGLE" localSheetId="3">'02 &amp; 04_0.02 KL'!#REF!</definedName>
    <definedName name="B.ANGLE" localSheetId="4">'03_0.330 KL'!#REF!</definedName>
    <definedName name="B.ANGLE" localSheetId="5">'05_0.942 KL'!#REF!</definedName>
    <definedName name="B.ANGLE" localSheetId="6">'06_0.330 KL'!#REF!</definedName>
    <definedName name="B.ANGLE" localSheetId="1">#REF!</definedName>
    <definedName name="B.ANGLE" localSheetId="7">#REF!</definedName>
    <definedName name="B.ANGLE" localSheetId="0">'[3]01'!$C$10</definedName>
    <definedName name="B.ANGLE" localSheetId="8">'[3]01'!$C$10</definedName>
    <definedName name="B.ANGLE">#REF!</definedName>
    <definedName name="B.FLG" localSheetId="2">'01_1.35 KL'!$Q$60:$Q$78</definedName>
    <definedName name="B.FLG" localSheetId="3">'02 &amp; 04_0.02 KL'!$Q$60:$Q$78</definedName>
    <definedName name="B.FLG" localSheetId="4">'03_0.330 KL'!$Q$60:$Q$78</definedName>
    <definedName name="B.FLG" localSheetId="5">'05_0.942 KL'!$Q$60:$Q$78</definedName>
    <definedName name="B.FLG" localSheetId="6">'06_0.330 KL'!$Q$60:$Q$78</definedName>
    <definedName name="B.FLG" localSheetId="1">#REF!</definedName>
    <definedName name="B.FLG" localSheetId="7">#REF!</definedName>
    <definedName name="B.FLG" localSheetId="0">'[1]1_5 KL PP FRP TANK'!$Q$55:$Q$73</definedName>
    <definedName name="B.FLG" localSheetId="8">'[1]1_5 KL PP FRP TANK'!$Q$55:$Q$73</definedName>
    <definedName name="B.FLG">#REF!</definedName>
    <definedName name="B.FLG.AREA" localSheetId="2">'01_1.35 KL'!$U$60:$U$78</definedName>
    <definedName name="B.FLG.AREA" localSheetId="3">'02 &amp; 04_0.02 KL'!$U$60:$U$78</definedName>
    <definedName name="B.FLG.AREA" localSheetId="4">'03_0.330 KL'!$U$60:$U$78</definedName>
    <definedName name="B.FLG.AREA" localSheetId="5">'05_0.942 KL'!$U$60:$U$78</definedName>
    <definedName name="B.FLG.AREA" localSheetId="6">'06_0.330 KL'!$U$60:$U$78</definedName>
    <definedName name="B.FLG.AREA" localSheetId="1">#REF!</definedName>
    <definedName name="B.FLG.AREA" localSheetId="7">#REF!</definedName>
    <definedName name="B.FLG.AREA" localSheetId="0">'[1]1_5 KL PP FRP TANK'!$U$55:$U$73</definedName>
    <definedName name="B.FLG.AREA" localSheetId="8">'[1]1_5 KL PP FRP TANK'!$U$55:$U$73</definedName>
    <definedName name="B.FLG.AREA">#REF!</definedName>
    <definedName name="B.FLG.FRP" localSheetId="2">'01_1.35 KL'!$W$60:$W$78</definedName>
    <definedName name="B.FLG.FRP" localSheetId="3">'02 &amp; 04_0.02 KL'!$W$60:$W$78</definedName>
    <definedName name="B.FLG.FRP" localSheetId="4">'03_0.330 KL'!$W$60:$W$78</definedName>
    <definedName name="B.FLG.FRP" localSheetId="5">'05_0.942 KL'!$W$60:$W$78</definedName>
    <definedName name="B.FLG.FRP" localSheetId="6">'06_0.330 KL'!$W$60:$W$78</definedName>
    <definedName name="B.FLG.FRP" localSheetId="1">#REF!</definedName>
    <definedName name="B.FLG.FRP" localSheetId="7">#REF!</definedName>
    <definedName name="B.FLG.FRP" localSheetId="0">'[1]1_5 KL PP FRP TANK'!$W$55:$W$73</definedName>
    <definedName name="B.FLG.FRP" localSheetId="8">'[1]1_5 KL PP FRP TANK'!$W$55:$W$73</definedName>
    <definedName name="B.FLG.FRP">#REF!</definedName>
    <definedName name="B.FLG.PP" localSheetId="2">'01_1.35 KL'!$V$60:$V$78</definedName>
    <definedName name="B.FLG.PP" localSheetId="3">'02 &amp; 04_0.02 KL'!$V$60:$V$78</definedName>
    <definedName name="B.FLG.PP" localSheetId="4">'03_0.330 KL'!$V$60:$V$78</definedName>
    <definedName name="B.FLG.PP" localSheetId="5">'05_0.942 KL'!$V$60:$V$78</definedName>
    <definedName name="B.FLG.PP" localSheetId="6">'06_0.330 KL'!$V$60:$V$78</definedName>
    <definedName name="B.FLG.PP" localSheetId="1">#REF!</definedName>
    <definedName name="B.FLG.PP" localSheetId="7">#REF!</definedName>
    <definedName name="B.FLG.PP" localSheetId="0">'[1]1_5 KL PP FRP TANK'!$V$55:$V$73</definedName>
    <definedName name="B.FLG.PP" localSheetId="8">'[1]1_5 KL PP FRP TANK'!$V$55:$V$73</definedName>
    <definedName name="B.FLG.PP">#REF!</definedName>
    <definedName name="B.M.S.H" localSheetId="2">'01_1.35 KL'!$D$14</definedName>
    <definedName name="B.M.S.H" localSheetId="3">'02 &amp; 04_0.02 KL'!$D$14</definedName>
    <definedName name="B.M.S.H" localSheetId="4">'03_0.330 KL'!$D$14</definedName>
    <definedName name="B.M.S.H" localSheetId="5">'05_0.942 KL'!$D$14</definedName>
    <definedName name="B.M.S.H" localSheetId="6">'06_0.330 KL'!$D$14</definedName>
    <definedName name="B.M.S.H" localSheetId="1">'[4]01'!$C$11</definedName>
    <definedName name="B.M.S.H" localSheetId="0">'[1]1_5 KL PP FRP TANK'!$C$12</definedName>
    <definedName name="B.M.S.H" localSheetId="8">'[1]1_5 KL PP FRP TANK'!$C$12</definedName>
    <definedName name="B.M.S.H">'[4]01'!$C$11</definedName>
    <definedName name="B.S.H" localSheetId="2">'01_1.35 KL'!$D$12</definedName>
    <definedName name="B.S.H" localSheetId="3">'02 &amp; 04_0.02 KL'!$D$12</definedName>
    <definedName name="B.S.H" localSheetId="4">'03_0.330 KL'!$D$12</definedName>
    <definedName name="B.S.H" localSheetId="5">'05_0.942 KL'!$D$12</definedName>
    <definedName name="B.S.H" localSheetId="6">'06_0.330 KL'!$D$12</definedName>
    <definedName name="B.S.H" localSheetId="1">#REF!</definedName>
    <definedName name="B.S.H" localSheetId="7">#REF!</definedName>
    <definedName name="B.S.H" localSheetId="0">'[1]1_5 KL PP FRP TANK'!$C$11</definedName>
    <definedName name="B.S.H" localSheetId="8">'[1]1_5 KL PP FRP TANK'!$C$11</definedName>
    <definedName name="B.S.H">#REF!</definedName>
    <definedName name="B.Scrubber_Ht." localSheetId="2">'[5]04_SCR'!$K$16</definedName>
    <definedName name="B.Scrubber_Ht." localSheetId="3">'[5]04_SCR'!$K$16</definedName>
    <definedName name="B.Scrubber_Ht." localSheetId="4">'[5]04_SCR'!$K$16</definedName>
    <definedName name="B.Scrubber_Ht." localSheetId="5">'[5]04_SCR'!$K$16</definedName>
    <definedName name="B.Scrubber_Ht." localSheetId="6">'[5]04_SCR'!$K$16</definedName>
    <definedName name="B.Scrubber_Ht." localSheetId="1">#REF!</definedName>
    <definedName name="B.Scrubber_Ht." localSheetId="7">#REF!</definedName>
    <definedName name="B.Scrubber_Ht." localSheetId="0">#REF!</definedName>
    <definedName name="B.Scrubber_Ht." localSheetId="8">#REF!</definedName>
    <definedName name="B.Scrubber_Ht.">#REF!</definedName>
    <definedName name="B_FLG" localSheetId="2">#REF!</definedName>
    <definedName name="B_FLG" localSheetId="3">#REF!</definedName>
    <definedName name="B_FLG" localSheetId="4">#REF!</definedName>
    <definedName name="B_FLG" localSheetId="5">#REF!</definedName>
    <definedName name="B_FLG" localSheetId="6">#REF!</definedName>
    <definedName name="B_FLG" localSheetId="1">#REF!</definedName>
    <definedName name="B_FLG" localSheetId="7">#REF!</definedName>
    <definedName name="B_FLG" localSheetId="0">#REF!</definedName>
    <definedName name="B_FLG" localSheetId="8">#REF!</definedName>
    <definedName name="B_FLG">#REF!</definedName>
    <definedName name="B_FLG_AREA" localSheetId="2">#REF!</definedName>
    <definedName name="B_FLG_AREA" localSheetId="3">#REF!</definedName>
    <definedName name="B_FLG_AREA" localSheetId="4">#REF!</definedName>
    <definedName name="B_FLG_AREA" localSheetId="5">#REF!</definedName>
    <definedName name="B_FLG_AREA" localSheetId="6">#REF!</definedName>
    <definedName name="B_FLG_AREA" localSheetId="1">#REF!</definedName>
    <definedName name="B_FLG_AREA" localSheetId="7">#REF!</definedName>
    <definedName name="B_FLG_AREA" localSheetId="0">#REF!</definedName>
    <definedName name="B_FLG_AREA" localSheetId="8">#REF!</definedName>
    <definedName name="B_FLG_AREA">#REF!</definedName>
    <definedName name="CFM" localSheetId="2">'01_1.35 KL'!$M$62:$M$64</definedName>
    <definedName name="CFM" localSheetId="3">'02 &amp; 04_0.02 KL'!$M$62:$M$64</definedName>
    <definedName name="CFM" localSheetId="4">'03_0.330 KL'!$M$62:$M$64</definedName>
    <definedName name="CFM" localSheetId="5">'05_0.942 KL'!$M$62:$M$64</definedName>
    <definedName name="CFM" localSheetId="6">'06_0.330 KL'!$M$62:$M$64</definedName>
    <definedName name="CFM" localSheetId="1">#REF!</definedName>
    <definedName name="CFM" localSheetId="7">#REF!</definedName>
    <definedName name="CFM" localSheetId="0">#REF!</definedName>
    <definedName name="CFM" localSheetId="8">#REF!</definedName>
    <definedName name="CFM">#REF!</definedName>
    <definedName name="COILCOST" localSheetId="2">'01_1.35 KL'!$O$62:$O$63</definedName>
    <definedName name="COILCOST" localSheetId="3">'02 &amp; 04_0.02 KL'!$O$62:$O$63</definedName>
    <definedName name="COILCOST" localSheetId="4">'03_0.330 KL'!$O$62:$O$63</definedName>
    <definedName name="COILCOST" localSheetId="5">'05_0.942 KL'!$O$62:$O$63</definedName>
    <definedName name="COILCOST" localSheetId="6">'06_0.330 KL'!$O$62:$O$63</definedName>
    <definedName name="COILCOST" localSheetId="1">#REF!</definedName>
    <definedName name="COILCOST" localSheetId="7">#REF!</definedName>
    <definedName name="COILCOST" localSheetId="0">#REF!</definedName>
    <definedName name="COILCOST" localSheetId="8">#REF!</definedName>
    <definedName name="COILCOST">#REF!</definedName>
    <definedName name="CSM_300" localSheetId="2">'[6]OP- ARP_05-1 &amp; 3 (LAYUP)'!$T$14</definedName>
    <definedName name="CSM_300" localSheetId="3">'[6]OP- ARP_05-1 &amp; 3 (LAYUP)'!$T$14</definedName>
    <definedName name="CSM_300" localSheetId="4">'[6]OP- ARP_05-1 &amp; 3 (LAYUP)'!$T$14</definedName>
    <definedName name="CSM_300" localSheetId="5">'[6]OP- ARP_05-1 &amp; 3 (LAYUP)'!$T$14</definedName>
    <definedName name="CSM_300" localSheetId="6">'[6]OP- ARP_05-1 &amp; 3 (LAYUP)'!$T$14</definedName>
    <definedName name="CSM_300" localSheetId="0">'[6]OP- ARP_05-1 &amp; 3 (LAYUP)'!$T$14</definedName>
    <definedName name="CSM_300" localSheetId="8">'[6]OP- ARP_05-1 &amp; 3 (LAYUP)'!$T$14</definedName>
    <definedName name="CSM_300">'[7]OP- ARP_05-1 &amp; 3 (LAYUP)'!$T$14</definedName>
    <definedName name="CSM_450" localSheetId="2">'[6]OP- ARP_05-1 &amp; 3 (LAYUP)'!$T$11</definedName>
    <definedName name="CSM_450" localSheetId="3">'[6]OP- ARP_05-1 &amp; 3 (LAYUP)'!$T$11</definedName>
    <definedName name="CSM_450" localSheetId="4">'[6]OP- ARP_05-1 &amp; 3 (LAYUP)'!$T$11</definedName>
    <definedName name="CSM_450" localSheetId="5">'[6]OP- ARP_05-1 &amp; 3 (LAYUP)'!$T$11</definedName>
    <definedName name="CSM_450" localSheetId="6">'[6]OP- ARP_05-1 &amp; 3 (LAYUP)'!$T$11</definedName>
    <definedName name="CSM_450" localSheetId="0">'[6]OP- ARP_05-1 &amp; 3 (LAYUP)'!$T$11</definedName>
    <definedName name="CSM_450" localSheetId="8">'[6]OP- ARP_05-1 &amp; 3 (LAYUP)'!$T$11</definedName>
    <definedName name="CSM_450">'[7]OP- ARP_05-1 &amp; 3 (LAYUP)'!$T$11</definedName>
    <definedName name="D.470" localSheetId="2">#REF!</definedName>
    <definedName name="D.470" localSheetId="3">#REF!</definedName>
    <definedName name="D.470" localSheetId="4">#REF!</definedName>
    <definedName name="D.470" localSheetId="5">#REF!</definedName>
    <definedName name="D.470" localSheetId="6">#REF!</definedName>
    <definedName name="D.470" localSheetId="1">#REF!</definedName>
    <definedName name="D.470" localSheetId="7">#REF!</definedName>
    <definedName name="D.470" localSheetId="0">#REF!</definedName>
    <definedName name="D.470" localSheetId="8">#REF!</definedName>
    <definedName name="D.470">#REF!</definedName>
    <definedName name="D.E.D" localSheetId="2">'01_1.35 KL'!$D$19</definedName>
    <definedName name="D.E.D" localSheetId="3">'02 &amp; 04_0.02 KL'!$D$19</definedName>
    <definedName name="D.E.D" localSheetId="4">'03_0.330 KL'!$D$19</definedName>
    <definedName name="D.E.D" localSheetId="5">'05_0.942 KL'!$D$19</definedName>
    <definedName name="D.E.D" localSheetId="6">'06_0.330 KL'!$D$19</definedName>
    <definedName name="D.E.D" localSheetId="1">#REF!</definedName>
    <definedName name="D.E.D" localSheetId="7">#REF!</definedName>
    <definedName name="D.E.D" localSheetId="0">#REF!</definedName>
    <definedName name="D.E.D" localSheetId="8">#REF!</definedName>
    <definedName name="D.E.D">#REF!</definedName>
    <definedName name="D.E.D." localSheetId="2">'01_1.35 KL'!#REF!</definedName>
    <definedName name="D.E.D." localSheetId="3">'02 &amp; 04_0.02 KL'!#REF!</definedName>
    <definedName name="D.E.D." localSheetId="4">'03_0.330 KL'!#REF!</definedName>
    <definedName name="D.E.D." localSheetId="5">'05_0.942 KL'!#REF!</definedName>
    <definedName name="D.E.D." localSheetId="6">'06_0.330 KL'!#REF!</definedName>
    <definedName name="D.E.D." localSheetId="1">'[4]01'!#REF!</definedName>
    <definedName name="D.E.D." localSheetId="7">'[4]01'!#REF!</definedName>
    <definedName name="D.E.D." localSheetId="0">'[1]1_5 KL PP FRP TANK'!#REF!</definedName>
    <definedName name="D.E.D." localSheetId="8">'[1]1_5 KL PP FRP TANK'!#REF!</definedName>
    <definedName name="D.E.D.">'[4]01'!#REF!</definedName>
    <definedName name="dd" localSheetId="2">#REF!</definedName>
    <definedName name="dd" localSheetId="3">#REF!</definedName>
    <definedName name="dd" localSheetId="4">#REF!</definedName>
    <definedName name="dd" localSheetId="5">#REF!</definedName>
    <definedName name="dd" localSheetId="6">#REF!</definedName>
    <definedName name="dd" localSheetId="1">#REF!</definedName>
    <definedName name="dd" localSheetId="7">#REF!</definedName>
    <definedName name="dd" localSheetId="0">#REF!</definedName>
    <definedName name="dd" localSheetId="8">#REF!</definedName>
    <definedName name="dd">#REF!</definedName>
    <definedName name="ddd" localSheetId="2">#REF!</definedName>
    <definedName name="ddd" localSheetId="3">#REF!</definedName>
    <definedName name="ddd" localSheetId="4">#REF!</definedName>
    <definedName name="ddd" localSheetId="5">#REF!</definedName>
    <definedName name="ddd" localSheetId="6">#REF!</definedName>
    <definedName name="ddd" localSheetId="1">#REF!</definedName>
    <definedName name="ddd" localSheetId="7">#REF!</definedName>
    <definedName name="ddd" localSheetId="0">#REF!</definedName>
    <definedName name="ddd" localSheetId="8">#REF!</definedName>
    <definedName name="ddd">#REF!</definedName>
    <definedName name="DED" localSheetId="2">#REF!</definedName>
    <definedName name="DED" localSheetId="3">#REF!</definedName>
    <definedName name="DED" localSheetId="4">#REF!</definedName>
    <definedName name="DED" localSheetId="5">#REF!</definedName>
    <definedName name="DED" localSheetId="6">#REF!</definedName>
    <definedName name="DED" localSheetId="1">[8]MLR!$C$9</definedName>
    <definedName name="DED" localSheetId="0">#REF!</definedName>
    <definedName name="DED" localSheetId="8">#REF!</definedName>
    <definedName name="DED">[9]MLR!$C$9</definedName>
    <definedName name="DIA" localSheetId="2">'01_1.35 KL'!$D$10</definedName>
    <definedName name="DIA" localSheetId="3">'02 &amp; 04_0.02 KL'!$D$10</definedName>
    <definedName name="DIA" localSheetId="4">'03_0.330 KL'!$D$10</definedName>
    <definedName name="DIA" localSheetId="5">'05_0.942 KL'!$D$10</definedName>
    <definedName name="DIA" localSheetId="6">'06_0.330 KL'!$D$10</definedName>
    <definedName name="DIA" localSheetId="1">#REF!</definedName>
    <definedName name="DIA" localSheetId="7">#REF!</definedName>
    <definedName name="DIA" localSheetId="0">#REF!</definedName>
    <definedName name="DIA" localSheetId="8">#REF!</definedName>
    <definedName name="DIA">#REF!</definedName>
    <definedName name="FRP" localSheetId="2">'01_1.35 KL'!$W$39:$W$57</definedName>
    <definedName name="FRP" localSheetId="3">'02 &amp; 04_0.02 KL'!$W$39:$W$57</definedName>
    <definedName name="FRP" localSheetId="4">'03_0.330 KL'!$W$39:$W$57</definedName>
    <definedName name="FRP" localSheetId="5">'05_0.942 KL'!$W$39:$W$57</definedName>
    <definedName name="FRP" localSheetId="6">'06_0.330 KL'!$W$39:$W$57</definedName>
    <definedName name="FRP" localSheetId="1">#REF!</definedName>
    <definedName name="FRP" localSheetId="7">#REF!</definedName>
    <definedName name="FRP" localSheetId="0">#REF!</definedName>
    <definedName name="FRP" localSheetId="8">#REF!</definedName>
    <definedName name="FRP">#REF!</definedName>
    <definedName name="FRP_ARA" localSheetId="2">#REF!</definedName>
    <definedName name="FRP_ARA" localSheetId="3">#REF!</definedName>
    <definedName name="FRP_ARA" localSheetId="4">#REF!</definedName>
    <definedName name="FRP_ARA" localSheetId="5">#REF!</definedName>
    <definedName name="FRP_ARA" localSheetId="6">#REF!</definedName>
    <definedName name="FRP_ARA" localSheetId="1">#REF!</definedName>
    <definedName name="FRP_ARA" localSheetId="7">#REF!</definedName>
    <definedName name="FRP_ARA" localSheetId="0">#REF!</definedName>
    <definedName name="FRP_ARA" localSheetId="8">#REF!</definedName>
    <definedName name="FRP_ARA">#REF!</definedName>
    <definedName name="FRP_AREA_PER_MM" localSheetId="2">'01_1.35 KL'!$AE$39:$AE$57</definedName>
    <definedName name="FRP_AREA_PER_MM" localSheetId="3">'02 &amp; 04_0.02 KL'!$AE$39:$AE$57</definedName>
    <definedName name="FRP_AREA_PER_MM" localSheetId="4">'03_0.330 KL'!$AE$39:$AE$57</definedName>
    <definedName name="FRP_AREA_PER_MM" localSheetId="5">'05_0.942 KL'!$AE$39:$AE$57</definedName>
    <definedName name="FRP_AREA_PER_MM" localSheetId="6">'06_0.330 KL'!$AE$39:$AE$57</definedName>
    <definedName name="FRP_AREA_PER_MM" localSheetId="1">#REF!</definedName>
    <definedName name="FRP_AREA_PER_MM" localSheetId="7">#REF!</definedName>
    <definedName name="FRP_AREA_PER_MM" localSheetId="0">'[1]1_5 KL PP FRP TANK'!$AE$34:$AE$52</definedName>
    <definedName name="FRP_AREA_PER_MM" localSheetId="8">'[1]1_5 KL PP FRP TANK'!$AE$34:$AE$52</definedName>
    <definedName name="FRP_AREA_PER_MM">#REF!</definedName>
    <definedName name="FRP_B_FLG" localSheetId="2">#REF!</definedName>
    <definedName name="FRP_B_FLG" localSheetId="3">#REF!</definedName>
    <definedName name="FRP_B_FLG" localSheetId="4">#REF!</definedName>
    <definedName name="FRP_B_FLG" localSheetId="5">#REF!</definedName>
    <definedName name="FRP_B_FLG" localSheetId="6">#REF!</definedName>
    <definedName name="FRP_B_FLG" localSheetId="1">#REF!</definedName>
    <definedName name="FRP_B_FLG" localSheetId="7">#REF!</definedName>
    <definedName name="FRP_B_FLG" localSheetId="0">#REF!</definedName>
    <definedName name="FRP_B_FLG" localSheetId="8">#REF!</definedName>
    <definedName name="FRP_B_FLG">#REF!</definedName>
    <definedName name="GAP_BTN_2_PKG" localSheetId="2">#REF!</definedName>
    <definedName name="GAP_BTN_2_PKG" localSheetId="3">#REF!</definedName>
    <definedName name="GAP_BTN_2_PKG" localSheetId="4">#REF!</definedName>
    <definedName name="GAP_BTN_2_PKG" localSheetId="5">#REF!</definedName>
    <definedName name="GAP_BTN_2_PKG" localSheetId="6">#REF!</definedName>
    <definedName name="GAP_BTN_2_PKG" localSheetId="1">#REF!</definedName>
    <definedName name="GAP_BTN_2_PKG" localSheetId="7">#REF!</definedName>
    <definedName name="GAP_BTN_2_PKG" localSheetId="0">#REF!</definedName>
    <definedName name="GAP_BTN_2_PKG" localSheetId="8">#REF!</definedName>
    <definedName name="GAP_BTN_2_PKG">#REF!</definedName>
    <definedName name="Gap_btn_pack" localSheetId="2">'[5]04_SCR'!#REF!</definedName>
    <definedName name="Gap_btn_pack" localSheetId="3">'[5]04_SCR'!#REF!</definedName>
    <definedName name="Gap_btn_pack" localSheetId="4">'[5]04_SCR'!#REF!</definedName>
    <definedName name="Gap_btn_pack" localSheetId="5">'[5]04_SCR'!#REF!</definedName>
    <definedName name="Gap_btn_pack" localSheetId="6">'[5]04_SCR'!#REF!</definedName>
    <definedName name="Gap_btn_pack" localSheetId="1">#REF!</definedName>
    <definedName name="Gap_btn_pack" localSheetId="7">#REF!</definedName>
    <definedName name="Gap_btn_pack" localSheetId="0">#REF!</definedName>
    <definedName name="Gap_btn_pack" localSheetId="8">#REF!</definedName>
    <definedName name="Gap_btn_pack">#REF!</definedName>
    <definedName name="HGT" localSheetId="2">#REF!</definedName>
    <definedName name="HGT" localSheetId="3">#REF!</definedName>
    <definedName name="HGT" localSheetId="4">#REF!</definedName>
    <definedName name="HGT" localSheetId="5">#REF!</definedName>
    <definedName name="HGT" localSheetId="6">#REF!</definedName>
    <definedName name="HGT" localSheetId="1">#REF!</definedName>
    <definedName name="HGT" localSheetId="7">#REF!</definedName>
    <definedName name="HGT" localSheetId="0">#REF!</definedName>
    <definedName name="HGT" localSheetId="8">#REF!</definedName>
    <definedName name="HGT">#REF!</definedName>
    <definedName name="HT" localSheetId="2">'01_1.35 KL'!$D$11</definedName>
    <definedName name="HT" localSheetId="3">'02 &amp; 04_0.02 KL'!$D$11</definedName>
    <definedName name="HT" localSheetId="4">'03_0.330 KL'!$D$11</definedName>
    <definedName name="HT" localSheetId="5">'05_0.942 KL'!$D$11</definedName>
    <definedName name="HT" localSheetId="6">'06_0.330 KL'!$D$11</definedName>
    <definedName name="HT" localSheetId="1">#REF!</definedName>
    <definedName name="HT" localSheetId="7">#REF!</definedName>
    <definedName name="HT" localSheetId="0">#REF!</definedName>
    <definedName name="HT" localSheetId="8">#REF!</definedName>
    <definedName name="HT">#REF!</definedName>
    <definedName name="JJJ" localSheetId="2">#REF!</definedName>
    <definedName name="JJJ" localSheetId="3">#REF!</definedName>
    <definedName name="JJJ" localSheetId="4">#REF!</definedName>
    <definedName name="JJJ" localSheetId="5">#REF!</definedName>
    <definedName name="JJJ" localSheetId="6">#REF!</definedName>
    <definedName name="JJJ" localSheetId="1">#REF!</definedName>
    <definedName name="JJJ" localSheetId="7">#REF!</definedName>
    <definedName name="JJJ" localSheetId="0">#REF!</definedName>
    <definedName name="JJJ" localSheetId="8">#REF!</definedName>
    <definedName name="JJJ">#REF!</definedName>
    <definedName name="L" localSheetId="2">#REF!</definedName>
    <definedName name="L" localSheetId="3">#REF!</definedName>
    <definedName name="L" localSheetId="4">#REF!</definedName>
    <definedName name="L" localSheetId="5">#REF!</definedName>
    <definedName name="L" localSheetId="6">#REF!</definedName>
    <definedName name="L" localSheetId="1">#REF!</definedName>
    <definedName name="L" localSheetId="7">#REF!</definedName>
    <definedName name="L" localSheetId="0">#REF!</definedName>
    <definedName name="L" localSheetId="8">#REF!</definedName>
    <definedName name="L">#REF!</definedName>
    <definedName name="LEVEL_INDI_COST" localSheetId="2">[10]SUMMARY!#REF!</definedName>
    <definedName name="LEVEL_INDI_COST" localSheetId="3">[10]SUMMARY!#REF!</definedName>
    <definedName name="LEVEL_INDI_COST" localSheetId="4">[10]SUMMARY!#REF!</definedName>
    <definedName name="LEVEL_INDI_COST" localSheetId="5">[10]SUMMARY!#REF!</definedName>
    <definedName name="LEVEL_INDI_COST" localSheetId="6">[10]SUMMARY!#REF!</definedName>
    <definedName name="LEVEL_INDI_COST" localSheetId="1">[10]SUMMARY!#REF!</definedName>
    <definedName name="LEVEL_INDI_COST" localSheetId="8">[10]SUMMARY!#REF!</definedName>
    <definedName name="LEVEL_INDI_COST">[10]SUMMARY!#REF!</definedName>
    <definedName name="LG" localSheetId="2">#REF!</definedName>
    <definedName name="LG" localSheetId="3">#REF!</definedName>
    <definedName name="LG" localSheetId="4">#REF!</definedName>
    <definedName name="LG" localSheetId="5">#REF!</definedName>
    <definedName name="LG" localSheetId="6">#REF!</definedName>
    <definedName name="LG" localSheetId="1">#REF!</definedName>
    <definedName name="LG" localSheetId="7">#REF!</definedName>
    <definedName name="LG" localSheetId="0">#REF!</definedName>
    <definedName name="LG" localSheetId="8">#REF!</definedName>
    <definedName name="LG">#REF!</definedName>
    <definedName name="LSL">'[11]HORIZONTAL - DISH ENDS'!$C$10</definedName>
    <definedName name="M.S.H" localSheetId="2">'01_1.35 KL'!$D$15</definedName>
    <definedName name="M.S.H" localSheetId="3">'02 &amp; 04_0.02 KL'!$D$15</definedName>
    <definedName name="M.S.H" localSheetId="4">'03_0.330 KL'!$D$15</definedName>
    <definedName name="M.S.H" localSheetId="5">'05_0.942 KL'!$D$15</definedName>
    <definedName name="M.S.H" localSheetId="6">'06_0.330 KL'!$D$15</definedName>
    <definedName name="M.S.H" localSheetId="1">#REF!</definedName>
    <definedName name="M.S.H" localSheetId="7">#REF!</definedName>
    <definedName name="M.S.H" localSheetId="0">'[1]1_5 KL PP FRP TANK'!$C$13</definedName>
    <definedName name="M.S.H" localSheetId="8">'[1]1_5 KL PP FRP TANK'!$C$13</definedName>
    <definedName name="M.S.H">#REF!</definedName>
    <definedName name="MSL">'[11]HORIZONTAL - DISH ENDS'!$C$11</definedName>
    <definedName name="N" localSheetId="2">#REF!</definedName>
    <definedName name="N" localSheetId="3">#REF!</definedName>
    <definedName name="N" localSheetId="4">#REF!</definedName>
    <definedName name="N" localSheetId="5">#REF!</definedName>
    <definedName name="N" localSheetId="6">#REF!</definedName>
    <definedName name="N" localSheetId="1">#REF!</definedName>
    <definedName name="N" localSheetId="7">#REF!</definedName>
    <definedName name="N" localSheetId="0">#REF!</definedName>
    <definedName name="N" localSheetId="8">#REF!</definedName>
    <definedName name="N">#REF!</definedName>
    <definedName name="No_OF_Packings" localSheetId="2">#REF!</definedName>
    <definedName name="No_OF_Packings" localSheetId="3">#REF!</definedName>
    <definedName name="No_OF_Packings" localSheetId="4">#REF!</definedName>
    <definedName name="No_OF_Packings" localSheetId="5">#REF!</definedName>
    <definedName name="No_OF_Packings" localSheetId="6">#REF!</definedName>
    <definedName name="No_OF_Packings" localSheetId="1">#REF!</definedName>
    <definedName name="No_OF_Packings" localSheetId="7">#REF!</definedName>
    <definedName name="No_OF_Packings" localSheetId="0">#REF!</definedName>
    <definedName name="No_OF_Packings" localSheetId="8">#REF!</definedName>
    <definedName name="No_OF_Packings">#REF!</definedName>
    <definedName name="NOZZLE" localSheetId="2">'01_1.35 KL'!$Q$40:$Q$57</definedName>
    <definedName name="NOZZLE" localSheetId="3">'02 &amp; 04_0.02 KL'!$Q$40:$Q$57</definedName>
    <definedName name="NOZZLE" localSheetId="4">'03_0.330 KL'!$Q$40:$Q$57</definedName>
    <definedName name="NOZZLE" localSheetId="5">'05_0.942 KL'!$Q$40:$Q$57</definedName>
    <definedName name="NOZZLE" localSheetId="6">'06_0.330 KL'!$Q$40:$Q$57</definedName>
    <definedName name="NOZZLE" localSheetId="1">#REF!</definedName>
    <definedName name="NOZZLE" localSheetId="7">#REF!</definedName>
    <definedName name="NOZZLE" localSheetId="0">#REF!</definedName>
    <definedName name="NOZZLE" localSheetId="8">#REF!</definedName>
    <definedName name="NOZZLE">#REF!</definedName>
    <definedName name="NOZZLE1" localSheetId="2">'01_1.35 KL'!$Q$39:$Q$57</definedName>
    <definedName name="NOZZLE1" localSheetId="3">'02 &amp; 04_0.02 KL'!$Q$39:$Q$57</definedName>
    <definedName name="NOZZLE1" localSheetId="4">'03_0.330 KL'!$Q$39:$Q$57</definedName>
    <definedName name="NOZZLE1" localSheetId="5">'05_0.942 KL'!$Q$39:$Q$57</definedName>
    <definedName name="NOZZLE1" localSheetId="6">'06_0.330 KL'!$Q$39:$Q$57</definedName>
    <definedName name="NOZZLE1" localSheetId="1">#REF!</definedName>
    <definedName name="NOZZLE1" localSheetId="7">#REF!</definedName>
    <definedName name="NOZZLE1" localSheetId="0">'[1]1_5 KL PP FRP TANK'!$Q$34:$Q$52</definedName>
    <definedName name="NOZZLE1" localSheetId="8">'[1]1_5 KL PP FRP TANK'!$Q$34:$Q$52</definedName>
    <definedName name="NOZZLE1">#REF!</definedName>
    <definedName name="Packing_Ht." localSheetId="2">'[5]04_SCR'!$K$11</definedName>
    <definedName name="Packing_Ht." localSheetId="3">'[5]04_SCR'!$K$11</definedName>
    <definedName name="Packing_Ht." localSheetId="4">'[5]04_SCR'!$K$11</definedName>
    <definedName name="Packing_Ht." localSheetId="5">'[5]04_SCR'!$K$11</definedName>
    <definedName name="Packing_Ht." localSheetId="6">'[5]04_SCR'!$K$11</definedName>
    <definedName name="Packing_Ht." localSheetId="1">#REF!</definedName>
    <definedName name="Packing_Ht." localSheetId="7">#REF!</definedName>
    <definedName name="Packing_Ht." localSheetId="0">#REF!</definedName>
    <definedName name="Packing_Ht." localSheetId="8">#REF!</definedName>
    <definedName name="Packing_Ht.">#REF!</definedName>
    <definedName name="Packing_Ht.1" localSheetId="2">#REF!</definedName>
    <definedName name="Packing_Ht.1" localSheetId="3">#REF!</definedName>
    <definedName name="Packing_Ht.1" localSheetId="4">#REF!</definedName>
    <definedName name="Packing_Ht.1" localSheetId="5">#REF!</definedName>
    <definedName name="Packing_Ht.1" localSheetId="6">#REF!</definedName>
    <definedName name="Packing_Ht.1" localSheetId="1">#REF!</definedName>
    <definedName name="Packing_Ht.1" localSheetId="7">#REF!</definedName>
    <definedName name="Packing_Ht.1" localSheetId="0">#REF!</definedName>
    <definedName name="Packing_Ht.1" localSheetId="8">#REF!</definedName>
    <definedName name="Packing_Ht.1">#REF!</definedName>
    <definedName name="Packing_Ht.2" localSheetId="2">#REF!</definedName>
    <definedName name="Packing_Ht.2" localSheetId="3">#REF!</definedName>
    <definedName name="Packing_Ht.2" localSheetId="4">#REF!</definedName>
    <definedName name="Packing_Ht.2" localSheetId="5">#REF!</definedName>
    <definedName name="Packing_Ht.2" localSheetId="6">#REF!</definedName>
    <definedName name="Packing_Ht.2" localSheetId="1">#REF!</definedName>
    <definedName name="Packing_Ht.2" localSheetId="7">#REF!</definedName>
    <definedName name="Packing_Ht.2" localSheetId="0">#REF!</definedName>
    <definedName name="Packing_Ht.2" localSheetId="8">#REF!</definedName>
    <definedName name="Packing_Ht.2">#REF!</definedName>
    <definedName name="pkg_ht1" localSheetId="2">#REF!</definedName>
    <definedName name="pkg_ht1" localSheetId="3">#REF!</definedName>
    <definedName name="pkg_ht1" localSheetId="4">#REF!</definedName>
    <definedName name="pkg_ht1" localSheetId="5">#REF!</definedName>
    <definedName name="pkg_ht1" localSheetId="6">#REF!</definedName>
    <definedName name="pkg_ht1" localSheetId="1">#REF!</definedName>
    <definedName name="pkg_ht1" localSheetId="7">#REF!</definedName>
    <definedName name="pkg_ht1" localSheetId="0">#REF!</definedName>
    <definedName name="pkg_ht1" localSheetId="8">#REF!</definedName>
    <definedName name="pkg_ht1">#REF!</definedName>
    <definedName name="pkg_ht2" localSheetId="2">#REF!</definedName>
    <definedName name="pkg_ht2" localSheetId="3">#REF!</definedName>
    <definedName name="pkg_ht2" localSheetId="4">#REF!</definedName>
    <definedName name="pkg_ht2" localSheetId="5">#REF!</definedName>
    <definedName name="pkg_ht2" localSheetId="6">#REF!</definedName>
    <definedName name="pkg_ht2" localSheetId="1">#REF!</definedName>
    <definedName name="pkg_ht2" localSheetId="7">#REF!</definedName>
    <definedName name="pkg_ht2" localSheetId="0">#REF!</definedName>
    <definedName name="pkg_ht2" localSheetId="8">#REF!</definedName>
    <definedName name="pkg_ht2">#REF!</definedName>
    <definedName name="pkg_ht3" localSheetId="2">#REF!</definedName>
    <definedName name="pkg_ht3" localSheetId="3">#REF!</definedName>
    <definedName name="pkg_ht3" localSheetId="4">#REF!</definedName>
    <definedName name="pkg_ht3" localSheetId="5">#REF!</definedName>
    <definedName name="pkg_ht3" localSheetId="6">#REF!</definedName>
    <definedName name="pkg_ht3" localSheetId="1">#REF!</definedName>
    <definedName name="pkg_ht3" localSheetId="7">#REF!</definedName>
    <definedName name="pkg_ht3" localSheetId="0">#REF!</definedName>
    <definedName name="pkg_ht3" localSheetId="8">#REF!</definedName>
    <definedName name="pkg_ht3">#REF!</definedName>
    <definedName name="pkg_ht4" localSheetId="2">#REF!</definedName>
    <definedName name="pkg_ht4" localSheetId="3">#REF!</definedName>
    <definedName name="pkg_ht4" localSheetId="4">#REF!</definedName>
    <definedName name="pkg_ht4" localSheetId="5">#REF!</definedName>
    <definedName name="pkg_ht4" localSheetId="6">#REF!</definedName>
    <definedName name="pkg_ht4" localSheetId="1">#REF!</definedName>
    <definedName name="pkg_ht4" localSheetId="7">#REF!</definedName>
    <definedName name="pkg_ht4" localSheetId="0">#REF!</definedName>
    <definedName name="pkg_ht4" localSheetId="8">#REF!</definedName>
    <definedName name="pkg_ht4">#REF!</definedName>
    <definedName name="PP" localSheetId="2">'01_1.35 KL'!$V$39:$V$57</definedName>
    <definedName name="PP" localSheetId="3">'02 &amp; 04_0.02 KL'!$V$39:$V$57</definedName>
    <definedName name="PP" localSheetId="4">'03_0.330 KL'!$V$39:$V$57</definedName>
    <definedName name="PP" localSheetId="5">'05_0.942 KL'!$V$39:$V$57</definedName>
    <definedName name="PP" localSheetId="6">'06_0.330 KL'!$V$39:$V$57</definedName>
    <definedName name="PP" localSheetId="1">#REF!</definedName>
    <definedName name="PP" localSheetId="7">#REF!</definedName>
    <definedName name="PP" localSheetId="0">#REF!</definedName>
    <definedName name="PP" localSheetId="8">#REF!</definedName>
    <definedName name="PP">#REF!</definedName>
    <definedName name="PP_ARA" localSheetId="2">#REF!</definedName>
    <definedName name="PP_ARA" localSheetId="3">#REF!</definedName>
    <definedName name="PP_ARA" localSheetId="4">#REF!</definedName>
    <definedName name="PP_ARA" localSheetId="5">#REF!</definedName>
    <definedName name="PP_ARA" localSheetId="6">#REF!</definedName>
    <definedName name="PP_ARA" localSheetId="1">#REF!</definedName>
    <definedName name="PP_ARA" localSheetId="7">#REF!</definedName>
    <definedName name="PP_ARA" localSheetId="0">#REF!</definedName>
    <definedName name="PP_ARA" localSheetId="8">#REF!</definedName>
    <definedName name="PP_ARA">#REF!</definedName>
    <definedName name="PP_AREA" localSheetId="2">'01_1.35 KL'!$AD$39:$AD$57</definedName>
    <definedName name="PP_AREA" localSheetId="3">'02 &amp; 04_0.02 KL'!$AD$39:$AD$57</definedName>
    <definedName name="PP_AREA" localSheetId="4">'03_0.330 KL'!$AD$39:$AD$57</definedName>
    <definedName name="PP_AREA" localSheetId="5">'05_0.942 KL'!$AD$39:$AD$57</definedName>
    <definedName name="PP_AREA" localSheetId="6">'06_0.330 KL'!$AD$39:$AD$57</definedName>
    <definedName name="PP_AREA" localSheetId="1">#REF!</definedName>
    <definedName name="PP_AREA" localSheetId="7">#REF!</definedName>
    <definedName name="PP_AREA" localSheetId="0">'[1]1_5 KL PP FRP TANK'!$AD$34:$AD$52</definedName>
    <definedName name="PP_AREA" localSheetId="8">'[1]1_5 KL PP FRP TANK'!$AD$34:$AD$52</definedName>
    <definedName name="PP_AREA">#REF!</definedName>
    <definedName name="_xlnm.Print_Area" localSheetId="2">'01_1.35 KL'!$B$1:$N$142</definedName>
    <definedName name="_xlnm.Print_Area" localSheetId="3">'02 &amp; 04_0.02 KL'!$B$1:$N$142</definedName>
    <definedName name="_xlnm.Print_Area" localSheetId="4">'03_0.330 KL'!$B$1:$N$142</definedName>
    <definedName name="_xlnm.Print_Area" localSheetId="5">'05_0.942 KL'!$B$1:$N$143</definedName>
    <definedName name="_xlnm.Print_Area" localSheetId="6">'06_0.330 KL'!$B$1:$N$143</definedName>
    <definedName name="_xlnm.Print_Area" localSheetId="1">ANNEXURE!$B$2:$I$41</definedName>
    <definedName name="_xlnm.Print_Area" localSheetId="7">'RESIN RATE'!$A$1:$E$12</definedName>
    <definedName name="_xlnm.Print_Area" localSheetId="0">SUMMARY!$A$1:$O$20</definedName>
    <definedName name="_xlnm.Print_Area" localSheetId="8">THK!$A$1:$J$10</definedName>
    <definedName name="ROIM" localSheetId="3">#REF!</definedName>
    <definedName name="ROIM" localSheetId="4">#REF!</definedName>
    <definedName name="ROIM" localSheetId="5">#REF!</definedName>
    <definedName name="ROIM" localSheetId="6">#REF!</definedName>
    <definedName name="ROIM" localSheetId="1">#REF!</definedName>
    <definedName name="ROIM" localSheetId="7">#REF!</definedName>
    <definedName name="ROIM" localSheetId="8">#REF!</definedName>
    <definedName name="ROIM">#REF!</definedName>
    <definedName name="ROIM1" localSheetId="3">#REF!</definedName>
    <definedName name="ROIM1" localSheetId="4">#REF!</definedName>
    <definedName name="ROIM1" localSheetId="5">#REF!</definedName>
    <definedName name="ROIM1" localSheetId="6">#REF!</definedName>
    <definedName name="ROIM1" localSheetId="1">#REF!</definedName>
    <definedName name="ROIM1" localSheetId="7">#REF!</definedName>
    <definedName name="ROIM1" localSheetId="8">#REF!</definedName>
    <definedName name="ROIM1">#REF!</definedName>
    <definedName name="RSL">'[11]HORIZONTAL - DISH ENDS'!$C$12</definedName>
    <definedName name="S_DIA" localSheetId="2">#REF!</definedName>
    <definedName name="S_DIA" localSheetId="3">#REF!</definedName>
    <definedName name="S_DIA" localSheetId="4">#REF!</definedName>
    <definedName name="S_DIA" localSheetId="5">#REF!</definedName>
    <definedName name="S_DIA" localSheetId="6">#REF!</definedName>
    <definedName name="S_DIA" localSheetId="1">#REF!</definedName>
    <definedName name="S_DIA" localSheetId="7">#REF!</definedName>
    <definedName name="S_DIA" localSheetId="0">#REF!</definedName>
    <definedName name="S_DIA" localSheetId="8">#REF!</definedName>
    <definedName name="S_DIA">#REF!</definedName>
    <definedName name="S_RF_W" localSheetId="2">'[12]02_SPINBATH BOTTOM TANK'!$D$15</definedName>
    <definedName name="S_RF_W" localSheetId="3">'[12]02_SPINBATH BOTTOM TANK'!$D$15</definedName>
    <definedName name="S_RF_W" localSheetId="4">'[12]02_SPINBATH BOTTOM TANK'!$D$15</definedName>
    <definedName name="S_RF_W" localSheetId="5">'[12]02_SPINBATH BOTTOM TANK'!$D$15</definedName>
    <definedName name="S_RF_W" localSheetId="6">'[12]02_SPINBATH BOTTOM TANK'!$D$15</definedName>
    <definedName name="S_RF_W" localSheetId="1">'[13]02_SPINBATH BOTTOM TANK'!$D$15</definedName>
    <definedName name="S_RF_W" localSheetId="0">'[14]02_SPINBATH BOTTOM TANK'!$D$15</definedName>
    <definedName name="S_RF_W" localSheetId="8">'[14]02_SPINBATH BOTTOM TANK'!$D$15</definedName>
    <definedName name="S_RF_W">'[12]02_SPINBATH BOTTOM TANK'!$D$15</definedName>
    <definedName name="SCR_DIA" localSheetId="3">#REF!</definedName>
    <definedName name="SCR_DIA" localSheetId="4">#REF!</definedName>
    <definedName name="SCR_DIA" localSheetId="5">#REF!</definedName>
    <definedName name="SCR_DIA" localSheetId="6">#REF!</definedName>
    <definedName name="SCR_DIA" localSheetId="1">#REF!</definedName>
    <definedName name="SCR_DIA" localSheetId="8">#REF!</definedName>
    <definedName name="SCR_DIA">#REF!</definedName>
    <definedName name="SCRUBBER_DIA." localSheetId="2">'[5]04_SCR'!$K$14</definedName>
    <definedName name="SCRUBBER_DIA." localSheetId="3">'[5]04_SCR'!$K$14</definedName>
    <definedName name="SCRUBBER_DIA." localSheetId="4">'[5]04_SCR'!$K$14</definedName>
    <definedName name="SCRUBBER_DIA." localSheetId="5">'[5]04_SCR'!$K$14</definedName>
    <definedName name="SCRUBBER_DIA." localSheetId="6">'[5]04_SCR'!$K$14</definedName>
    <definedName name="SCRUBBER_DIA." localSheetId="1">#REF!</definedName>
    <definedName name="SCRUBBER_DIA." localSheetId="7">#REF!</definedName>
    <definedName name="SCRUBBER_DIA." localSheetId="0">#REF!</definedName>
    <definedName name="SCRUBBER_DIA." localSheetId="8">#REF!</definedName>
    <definedName name="SCRUBBER_DIA.">#REF!</definedName>
    <definedName name="SHELL_HT" localSheetId="2">#REF!</definedName>
    <definedName name="SHELL_HT" localSheetId="3">#REF!</definedName>
    <definedName name="SHELL_HT" localSheetId="4">#REF!</definedName>
    <definedName name="SHELL_HT" localSheetId="5">#REF!</definedName>
    <definedName name="SHELL_HT" localSheetId="6">#REF!</definedName>
    <definedName name="SHELL_HT" localSheetId="1">#REF!</definedName>
    <definedName name="SHELL_HT" localSheetId="7">#REF!</definedName>
    <definedName name="SHELL_HT" localSheetId="0">#REF!</definedName>
    <definedName name="SHELL_HT" localSheetId="8">#REF!</definedName>
    <definedName name="SHELL_HT">#REF!</definedName>
    <definedName name="SM_MAT" localSheetId="2">'[6]OP- ARP_05-1 &amp; 3 (LAYUP)'!$T$13</definedName>
    <definedName name="SM_MAT" localSheetId="3">'[6]OP- ARP_05-1 &amp; 3 (LAYUP)'!$T$13</definedName>
    <definedName name="SM_MAT" localSheetId="4">'[6]OP- ARP_05-1 &amp; 3 (LAYUP)'!$T$13</definedName>
    <definedName name="SM_MAT" localSheetId="5">'[6]OP- ARP_05-1 &amp; 3 (LAYUP)'!$T$13</definedName>
    <definedName name="SM_MAT" localSheetId="6">'[6]OP- ARP_05-1 &amp; 3 (LAYUP)'!$T$13</definedName>
    <definedName name="SM_MAT" localSheetId="0">'[6]OP- ARP_05-1 &amp; 3 (LAYUP)'!$T$13</definedName>
    <definedName name="SM_MAT" localSheetId="8">'[6]OP- ARP_05-1 &amp; 3 (LAYUP)'!$T$13</definedName>
    <definedName name="SM_MAT">'[7]OP- ARP_05-1 &amp; 3 (LAYUP)'!$T$13</definedName>
    <definedName name="Spray_Section_HT." localSheetId="2">'[5]04_SCR'!$K$7</definedName>
    <definedName name="Spray_Section_HT." localSheetId="3">'[5]04_SCR'!$K$7</definedName>
    <definedName name="Spray_Section_HT." localSheetId="4">'[5]04_SCR'!$K$7</definedName>
    <definedName name="Spray_Section_HT." localSheetId="5">'[5]04_SCR'!$K$7</definedName>
    <definedName name="Spray_Section_HT." localSheetId="6">'[5]04_SCR'!$K$7</definedName>
    <definedName name="Spray_Section_HT." localSheetId="1">#REF!</definedName>
    <definedName name="Spray_Section_HT." localSheetId="7">#REF!</definedName>
    <definedName name="Spray_Section_HT." localSheetId="0">#REF!</definedName>
    <definedName name="Spray_Section_HT." localSheetId="8">#REF!</definedName>
    <definedName name="Spray_Section_HT.">#REF!</definedName>
    <definedName name="Sq.M" localSheetId="2">'01_1.35 KL'!$U$40:$U$57</definedName>
    <definedName name="Sq.M" localSheetId="3">'02 &amp; 04_0.02 KL'!$U$40:$U$57</definedName>
    <definedName name="Sq.M" localSheetId="4">'03_0.330 KL'!$U$40:$U$57</definedName>
    <definedName name="Sq.M" localSheetId="5">'05_0.942 KL'!$U$40:$U$57</definedName>
    <definedName name="Sq.M" localSheetId="6">'06_0.330 KL'!$U$40:$U$57</definedName>
    <definedName name="Sq.M" localSheetId="1">#REF!</definedName>
    <definedName name="Sq.M" localSheetId="7">#REF!</definedName>
    <definedName name="Sq.M" localSheetId="0">#REF!</definedName>
    <definedName name="Sq.M" localSheetId="8">#REF!</definedName>
    <definedName name="Sq.M">#REF!</definedName>
    <definedName name="SS" localSheetId="2">#REF!</definedName>
    <definedName name="SS" localSheetId="3">#REF!</definedName>
    <definedName name="SS" localSheetId="4">#REF!</definedName>
    <definedName name="SS" localSheetId="5">#REF!</definedName>
    <definedName name="SS" localSheetId="6">#REF!</definedName>
    <definedName name="SS" localSheetId="1">#REF!</definedName>
    <definedName name="SS" localSheetId="7">#REF!</definedName>
    <definedName name="SS" localSheetId="0">#REF!</definedName>
    <definedName name="SS" localSheetId="8">#REF!</definedName>
    <definedName name="SS">#REF!</definedName>
    <definedName name="T.M.S.H" localSheetId="2">'01_1.35 KL'!$D$16</definedName>
    <definedName name="T.M.S.H" localSheetId="3">'02 &amp; 04_0.02 KL'!$D$16</definedName>
    <definedName name="T.M.S.H" localSheetId="4">'03_0.330 KL'!$D$16</definedName>
    <definedName name="T.M.S.H" localSheetId="5">'05_0.942 KL'!$D$16</definedName>
    <definedName name="T.M.S.H" localSheetId="6">'06_0.330 KL'!$D$16</definedName>
    <definedName name="T.M.S.H" localSheetId="1">'[4]01'!$C$13</definedName>
    <definedName name="T.M.S.H" localSheetId="0">'[1]1_5 KL PP FRP TANK'!$C$14</definedName>
    <definedName name="T.M.S.H" localSheetId="8">'[1]1_5 KL PP FRP TANK'!$C$14</definedName>
    <definedName name="T.M.S.H">'[4]01'!$C$13</definedName>
    <definedName name="T.S.H" localSheetId="2">'01_1.35 KL'!$D$17</definedName>
    <definedName name="T.S.H" localSheetId="3">'02 &amp; 04_0.02 KL'!$D$17</definedName>
    <definedName name="T.S.H" localSheetId="4">'03_0.330 KL'!$D$17</definedName>
    <definedName name="T.S.H" localSheetId="5">'05_0.942 KL'!$D$17</definedName>
    <definedName name="T.S.H" localSheetId="6">'06_0.330 KL'!$D$17</definedName>
    <definedName name="T.S.H" localSheetId="1">#REF!</definedName>
    <definedName name="T.S.H" localSheetId="7">#REF!</definedName>
    <definedName name="T.S.H" localSheetId="0">'[1]1_5 KL PP FRP TANK'!$C$15</definedName>
    <definedName name="T.S.H" localSheetId="8">'[1]1_5 KL PP FRP TANK'!$C$15</definedName>
    <definedName name="T.S.H">#REF!</definedName>
    <definedName name="TANK_DIA" localSheetId="2">#REF!</definedName>
    <definedName name="TANK_DIA" localSheetId="3">#REF!</definedName>
    <definedName name="TANK_DIA" localSheetId="4">#REF!</definedName>
    <definedName name="TANK_DIA" localSheetId="5">#REF!</definedName>
    <definedName name="TANK_DIA" localSheetId="6">#REF!</definedName>
    <definedName name="TANK_DIA" localSheetId="1">#REF!</definedName>
    <definedName name="TANK_DIA" localSheetId="7">'[2]PCS WITH INBUILT TANK'!$E$13</definedName>
    <definedName name="TANK_DIA" localSheetId="0">#REF!</definedName>
    <definedName name="TANK_DIA" localSheetId="8">#REF!</definedName>
    <definedName name="TANK_DIA">#REF!</definedName>
    <definedName name="TANK_HT" localSheetId="2">#REF!</definedName>
    <definedName name="TANK_HT" localSheetId="3">#REF!</definedName>
    <definedName name="TANK_HT" localSheetId="4">#REF!</definedName>
    <definedName name="TANK_HT" localSheetId="5">#REF!</definedName>
    <definedName name="TANK_HT" localSheetId="6">#REF!</definedName>
    <definedName name="TANK_HT" localSheetId="1">#REF!</definedName>
    <definedName name="TANK_HT" localSheetId="7">'[2]PCS WITH INBUILT TANK'!$E$14</definedName>
    <definedName name="TANK_HT" localSheetId="0">#REF!</definedName>
    <definedName name="TANK_HT" localSheetId="8">#REF!</definedName>
    <definedName name="TANK_HT">#REF!</definedName>
    <definedName name="Total_ht" localSheetId="2">#REF!</definedName>
    <definedName name="Total_ht" localSheetId="3">#REF!</definedName>
    <definedName name="Total_ht" localSheetId="4">#REF!</definedName>
    <definedName name="Total_ht" localSheetId="5">#REF!</definedName>
    <definedName name="Total_ht" localSheetId="6">#REF!</definedName>
    <definedName name="Total_ht" localSheetId="1">#REF!</definedName>
    <definedName name="Total_ht" localSheetId="7">#REF!</definedName>
    <definedName name="Total_ht" localSheetId="0">#REF!</definedName>
    <definedName name="Total_ht" localSheetId="8">#REF!</definedName>
    <definedName name="Total_ht">#REF!</definedName>
    <definedName name="VV" localSheetId="2">#REF!</definedName>
    <definedName name="VV" localSheetId="3">#REF!</definedName>
    <definedName name="VV" localSheetId="4">#REF!</definedName>
    <definedName name="VV" localSheetId="5">#REF!</definedName>
    <definedName name="VV" localSheetId="6">#REF!</definedName>
    <definedName name="VV" localSheetId="1">#REF!</definedName>
    <definedName name="VV" localSheetId="7">#REF!</definedName>
    <definedName name="VV" localSheetId="0">#REF!</definedName>
    <definedName name="VV" localSheetId="8">#REF!</definedName>
    <definedName name="VV">#REF!</definedName>
    <definedName name="WDTH" localSheetId="2">#REF!</definedName>
    <definedName name="WDTH" localSheetId="3">#REF!</definedName>
    <definedName name="WDTH" localSheetId="4">#REF!</definedName>
    <definedName name="WDTH" localSheetId="5">#REF!</definedName>
    <definedName name="WDTH" localSheetId="6">#REF!</definedName>
    <definedName name="WDTH" localSheetId="1">#REF!</definedName>
    <definedName name="WDTH" localSheetId="7">#REF!</definedName>
    <definedName name="WDTH" localSheetId="0">#REF!</definedName>
    <definedName name="WDTH" localSheetId="8">#REF!</definedName>
    <definedName name="WDTH">#REF!</definedName>
    <definedName name="WIDTH" localSheetId="2">#REF!</definedName>
    <definedName name="WIDTH" localSheetId="3">#REF!</definedName>
    <definedName name="WIDTH" localSheetId="4">#REF!</definedName>
    <definedName name="WIDTH" localSheetId="5">#REF!</definedName>
    <definedName name="WIDTH" localSheetId="6">#REF!</definedName>
    <definedName name="WIDTH" localSheetId="1">#REF!</definedName>
    <definedName name="WIDTH" localSheetId="7">#REF!</definedName>
    <definedName name="WIDTH" localSheetId="0">#REF!</definedName>
    <definedName name="WIDTH" localSheetId="8">#REF!</definedName>
    <definedName name="WIDTH">#REF!</definedName>
    <definedName name="WR_610" localSheetId="2">'[6]OP- ARP_05-1 &amp; 3 (LAYUP)'!$T$12</definedName>
    <definedName name="WR_610" localSheetId="3">'[6]OP- ARP_05-1 &amp; 3 (LAYUP)'!$T$12</definedName>
    <definedName name="WR_610" localSheetId="4">'[6]OP- ARP_05-1 &amp; 3 (LAYUP)'!$T$12</definedName>
    <definedName name="WR_610" localSheetId="5">'[6]OP- ARP_05-1 &amp; 3 (LAYUP)'!$T$12</definedName>
    <definedName name="WR_610" localSheetId="6">'[6]OP- ARP_05-1 &amp; 3 (LAYUP)'!$T$12</definedName>
    <definedName name="WR_610" localSheetId="0">'[6]OP- ARP_05-1 &amp; 3 (LAYUP)'!$T$12</definedName>
    <definedName name="WR_610" localSheetId="8">'[6]OP- ARP_05-1 &amp; 3 (LAYUP)'!$T$12</definedName>
    <definedName name="WR_610">'[7]OP- ARP_05-1 &amp; 3 (LAYUP)'!$T$12</definedName>
  </definedNames>
  <calcPr calcId="152511"/>
</workbook>
</file>

<file path=xl/calcChain.xml><?xml version="1.0" encoding="utf-8"?>
<calcChain xmlns="http://schemas.openxmlformats.org/spreadsheetml/2006/main">
  <c r="O20" i="20" l="1"/>
  <c r="N20" i="20"/>
  <c r="N12" i="20"/>
  <c r="N11" i="20"/>
  <c r="N10" i="20"/>
  <c r="N9" i="20"/>
  <c r="N8" i="20"/>
  <c r="N7" i="20"/>
  <c r="M12" i="20"/>
  <c r="M11" i="20"/>
  <c r="M10" i="20"/>
  <c r="M9" i="20"/>
  <c r="M8" i="20"/>
  <c r="M7" i="20"/>
  <c r="J9" i="20"/>
  <c r="H9" i="20"/>
  <c r="O12" i="20"/>
  <c r="O11" i="20"/>
  <c r="O10" i="20"/>
  <c r="O8" i="20"/>
  <c r="O7" i="20"/>
  <c r="O9" i="20" l="1"/>
  <c r="I139" i="25"/>
  <c r="G130" i="25"/>
  <c r="F134" i="25"/>
  <c r="F134" i="24"/>
  <c r="F133" i="23"/>
  <c r="J99" i="24"/>
  <c r="F3" i="18"/>
  <c r="F4" i="18"/>
  <c r="F5" i="18"/>
  <c r="F2" i="18"/>
  <c r="F41" i="18"/>
  <c r="F40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7" i="18"/>
  <c r="D1" i="25"/>
  <c r="D1" i="24"/>
  <c r="D1" i="23"/>
  <c r="D1" i="22"/>
  <c r="N13" i="20" l="1"/>
  <c r="C82" i="25"/>
  <c r="C82" i="24"/>
  <c r="C82" i="23"/>
  <c r="C82" i="22"/>
  <c r="E126" i="25" l="1"/>
  <c r="F126" i="25" s="1"/>
  <c r="U125" i="25"/>
  <c r="T125" i="25"/>
  <c r="E125" i="25"/>
  <c r="E124" i="25"/>
  <c r="C124" i="25"/>
  <c r="U123" i="25"/>
  <c r="T123" i="25"/>
  <c r="U121" i="25"/>
  <c r="T121" i="25"/>
  <c r="C121" i="25"/>
  <c r="C120" i="25"/>
  <c r="H119" i="25"/>
  <c r="C119" i="25"/>
  <c r="J110" i="25"/>
  <c r="J109" i="25"/>
  <c r="D109" i="25"/>
  <c r="J108" i="25"/>
  <c r="J107" i="25"/>
  <c r="F138" i="25" s="1"/>
  <c r="J106" i="25"/>
  <c r="F137" i="25" s="1"/>
  <c r="J105" i="25"/>
  <c r="J104" i="25"/>
  <c r="F136" i="25" s="1"/>
  <c r="K101" i="25"/>
  <c r="J99" i="25"/>
  <c r="J98" i="25"/>
  <c r="H94" i="25"/>
  <c r="H96" i="25" s="1"/>
  <c r="J96" i="25" s="1"/>
  <c r="H93" i="25"/>
  <c r="J93" i="25" s="1"/>
  <c r="H85" i="25"/>
  <c r="U78" i="25"/>
  <c r="K68" i="25" s="1"/>
  <c r="E78" i="25"/>
  <c r="U77" i="25"/>
  <c r="K77" i="25" s="1"/>
  <c r="E77" i="25"/>
  <c r="U76" i="25"/>
  <c r="K76" i="25" s="1"/>
  <c r="L76" i="25" s="1"/>
  <c r="E76" i="25"/>
  <c r="U75" i="25"/>
  <c r="K75" i="25" s="1"/>
  <c r="E75" i="25"/>
  <c r="U74" i="25"/>
  <c r="K74" i="25" s="1"/>
  <c r="E74" i="25"/>
  <c r="U73" i="25"/>
  <c r="J73" i="25" s="1"/>
  <c r="E73" i="25"/>
  <c r="U72" i="25"/>
  <c r="K72" i="25" s="1"/>
  <c r="E72" i="25"/>
  <c r="U71" i="25"/>
  <c r="K71" i="25" s="1"/>
  <c r="E71" i="25"/>
  <c r="U70" i="25"/>
  <c r="J70" i="25" s="1"/>
  <c r="E70" i="25"/>
  <c r="U69" i="25"/>
  <c r="E69" i="25"/>
  <c r="U68" i="25"/>
  <c r="J64" i="25" s="1"/>
  <c r="E68" i="25"/>
  <c r="U67" i="25"/>
  <c r="K63" i="25" s="1"/>
  <c r="E67" i="25"/>
  <c r="U66" i="25"/>
  <c r="E66" i="25"/>
  <c r="U65" i="25"/>
  <c r="M65" i="25"/>
  <c r="E65" i="25"/>
  <c r="U64" i="25"/>
  <c r="J61" i="25" s="1"/>
  <c r="M64" i="25"/>
  <c r="E64" i="25"/>
  <c r="U63" i="25"/>
  <c r="M63" i="25"/>
  <c r="E63" i="25"/>
  <c r="U62" i="25"/>
  <c r="M62" i="25"/>
  <c r="E62" i="25"/>
  <c r="U61" i="25"/>
  <c r="M61" i="25"/>
  <c r="K61" i="25"/>
  <c r="E61" i="25"/>
  <c r="U60" i="25"/>
  <c r="AC57" i="25"/>
  <c r="AB57" i="25"/>
  <c r="AA57" i="25"/>
  <c r="Z57" i="25"/>
  <c r="U57" i="25"/>
  <c r="AC56" i="25"/>
  <c r="AB56" i="25"/>
  <c r="AA56" i="25"/>
  <c r="Z56" i="25"/>
  <c r="U56" i="25"/>
  <c r="AC55" i="25"/>
  <c r="AB55" i="25"/>
  <c r="AA55" i="25"/>
  <c r="Z55" i="25"/>
  <c r="U55" i="25"/>
  <c r="AC54" i="25"/>
  <c r="AB54" i="25"/>
  <c r="AA54" i="25"/>
  <c r="Z54" i="25"/>
  <c r="U54" i="25"/>
  <c r="AC53" i="25"/>
  <c r="AB53" i="25"/>
  <c r="AA53" i="25"/>
  <c r="AE53" i="25" s="1"/>
  <c r="Z53" i="25"/>
  <c r="U53" i="25"/>
  <c r="AC52" i="25"/>
  <c r="AB52" i="25"/>
  <c r="AA52" i="25"/>
  <c r="AE52" i="25" s="1"/>
  <c r="Z52" i="25"/>
  <c r="U52" i="25"/>
  <c r="AC51" i="25"/>
  <c r="AE51" i="25" s="1"/>
  <c r="AB51" i="25"/>
  <c r="AA51" i="25"/>
  <c r="Z51" i="25"/>
  <c r="U51" i="25"/>
  <c r="AC50" i="25"/>
  <c r="AB50" i="25"/>
  <c r="AA50" i="25"/>
  <c r="Z50" i="25"/>
  <c r="U50" i="25"/>
  <c r="AC49" i="25"/>
  <c r="AB49" i="25"/>
  <c r="AA49" i="25"/>
  <c r="AE49" i="25" s="1"/>
  <c r="Z49" i="25"/>
  <c r="U49" i="25"/>
  <c r="AC48" i="25"/>
  <c r="AE48" i="25" s="1"/>
  <c r="AB48" i="25"/>
  <c r="AA48" i="25"/>
  <c r="Z48" i="25"/>
  <c r="U48" i="25"/>
  <c r="AC47" i="25"/>
  <c r="AB47" i="25"/>
  <c r="AA47" i="25"/>
  <c r="AE47" i="25" s="1"/>
  <c r="Z47" i="25"/>
  <c r="U47" i="25"/>
  <c r="AC46" i="25"/>
  <c r="AB46" i="25"/>
  <c r="AA46" i="25"/>
  <c r="Z46" i="25"/>
  <c r="U46" i="25"/>
  <c r="AC45" i="25"/>
  <c r="AB45" i="25"/>
  <c r="AA45" i="25"/>
  <c r="Z45" i="25"/>
  <c r="U45" i="25"/>
  <c r="AC44" i="25"/>
  <c r="AB44" i="25"/>
  <c r="AA44" i="25"/>
  <c r="Z44" i="25"/>
  <c r="U44" i="25"/>
  <c r="M44" i="25"/>
  <c r="AC43" i="25"/>
  <c r="AB43" i="25"/>
  <c r="AA43" i="25"/>
  <c r="AE43" i="25" s="1"/>
  <c r="Z43" i="25"/>
  <c r="U43" i="25"/>
  <c r="M43" i="25"/>
  <c r="AC42" i="25"/>
  <c r="AB42" i="25"/>
  <c r="AA42" i="25"/>
  <c r="Z42" i="25"/>
  <c r="U42" i="25"/>
  <c r="M42" i="25"/>
  <c r="AC41" i="25"/>
  <c r="AB41" i="25"/>
  <c r="AA41" i="25"/>
  <c r="AE41" i="25" s="1"/>
  <c r="Z41" i="25"/>
  <c r="U41" i="25"/>
  <c r="M41" i="25"/>
  <c r="AC40" i="25"/>
  <c r="AB40" i="25"/>
  <c r="AA40" i="25"/>
  <c r="Z40" i="25"/>
  <c r="U40" i="25"/>
  <c r="M40" i="25"/>
  <c r="AC39" i="25"/>
  <c r="AB39" i="25"/>
  <c r="AA39" i="25"/>
  <c r="Z39" i="25"/>
  <c r="U39" i="25"/>
  <c r="F36" i="25"/>
  <c r="F35" i="25"/>
  <c r="F34" i="25"/>
  <c r="C33" i="25"/>
  <c r="F33" i="25" s="1"/>
  <c r="C32" i="25"/>
  <c r="F32" i="25" s="1"/>
  <c r="F31" i="25"/>
  <c r="F30" i="25"/>
  <c r="F29" i="25"/>
  <c r="F27" i="25"/>
  <c r="F26" i="25"/>
  <c r="F25" i="25"/>
  <c r="F24" i="25"/>
  <c r="F23" i="25"/>
  <c r="N21" i="25"/>
  <c r="M21" i="25"/>
  <c r="N81" i="25" s="1"/>
  <c r="D88" i="25" s="1"/>
  <c r="C126" i="25" s="1"/>
  <c r="L21" i="25"/>
  <c r="L81" i="25" s="1"/>
  <c r="D86" i="25" s="1"/>
  <c r="J21" i="25"/>
  <c r="J81" i="25" s="1"/>
  <c r="D11" i="25"/>
  <c r="D15" i="25" s="1"/>
  <c r="D10" i="25"/>
  <c r="H102" i="25" s="1"/>
  <c r="J102" i="25" s="1"/>
  <c r="M2" i="25"/>
  <c r="G119" i="25" s="1"/>
  <c r="D2" i="25"/>
  <c r="I119" i="25" s="1"/>
  <c r="F133" i="22"/>
  <c r="F134" i="17"/>
  <c r="C33" i="17"/>
  <c r="C32" i="17"/>
  <c r="F17" i="20"/>
  <c r="J72" i="25" l="1"/>
  <c r="AD43" i="25"/>
  <c r="J40" i="25" s="1"/>
  <c r="AD49" i="25"/>
  <c r="AE55" i="25"/>
  <c r="AD53" i="25"/>
  <c r="J53" i="25" s="1"/>
  <c r="AE44" i="25"/>
  <c r="AD55" i="25"/>
  <c r="K31" i="25"/>
  <c r="L31" i="25" s="1"/>
  <c r="L71" i="25"/>
  <c r="AD40" i="25"/>
  <c r="AD41" i="25"/>
  <c r="AE45" i="25"/>
  <c r="AE54" i="25"/>
  <c r="AE56" i="25"/>
  <c r="L68" i="25"/>
  <c r="D17" i="25"/>
  <c r="K27" i="25" s="1"/>
  <c r="M27" i="25" s="1"/>
  <c r="AE50" i="25"/>
  <c r="J75" i="25"/>
  <c r="AD45" i="25"/>
  <c r="AE46" i="25"/>
  <c r="AD51" i="25"/>
  <c r="J51" i="25" s="1"/>
  <c r="K35" i="25"/>
  <c r="M35" i="25" s="1"/>
  <c r="K70" i="25"/>
  <c r="L70" i="25" s="1"/>
  <c r="J94" i="25"/>
  <c r="F131" i="25" s="1"/>
  <c r="D16" i="25"/>
  <c r="K26" i="25" s="1"/>
  <c r="J30" i="25"/>
  <c r="AD47" i="25"/>
  <c r="J43" i="25" s="1"/>
  <c r="AD57" i="25"/>
  <c r="J46" i="25" s="1"/>
  <c r="J67" i="25"/>
  <c r="H95" i="25"/>
  <c r="J95" i="25" s="1"/>
  <c r="F130" i="25" s="1"/>
  <c r="AE39" i="25"/>
  <c r="AE40" i="25"/>
  <c r="AE57" i="25"/>
  <c r="L74" i="25"/>
  <c r="L77" i="25"/>
  <c r="AD44" i="25"/>
  <c r="J41" i="25" s="1"/>
  <c r="AD48" i="25"/>
  <c r="AD52" i="25"/>
  <c r="J52" i="25" s="1"/>
  <c r="AD56" i="25"/>
  <c r="J56" i="25" s="1"/>
  <c r="J69" i="25"/>
  <c r="L72" i="25"/>
  <c r="J77" i="25"/>
  <c r="L75" i="25"/>
  <c r="J62" i="25"/>
  <c r="K67" i="25"/>
  <c r="L67" i="25" s="1"/>
  <c r="AD39" i="25"/>
  <c r="AD42" i="25"/>
  <c r="AD46" i="25"/>
  <c r="AD50" i="25"/>
  <c r="J42" i="25" s="1"/>
  <c r="AD54" i="25"/>
  <c r="J54" i="25" s="1"/>
  <c r="K65" i="25"/>
  <c r="J78" i="25"/>
  <c r="AE42" i="25"/>
  <c r="K73" i="25"/>
  <c r="L73" i="25" s="1"/>
  <c r="K78" i="25"/>
  <c r="L78" i="25" s="1"/>
  <c r="M80" i="25"/>
  <c r="M81" i="25"/>
  <c r="D87" i="25" s="1"/>
  <c r="R118" i="25" s="1"/>
  <c r="J44" i="25"/>
  <c r="J55" i="25"/>
  <c r="J48" i="25"/>
  <c r="D85" i="25"/>
  <c r="N85" i="25"/>
  <c r="C125" i="25"/>
  <c r="R117" i="25"/>
  <c r="J50" i="25"/>
  <c r="J49" i="25"/>
  <c r="G103" i="25"/>
  <c r="J103" i="25" s="1"/>
  <c r="K103" i="25" s="1"/>
  <c r="J29" i="25"/>
  <c r="K64" i="25"/>
  <c r="M11" i="25"/>
  <c r="D5" i="25" s="1"/>
  <c r="D122" i="25" s="1"/>
  <c r="J25" i="25"/>
  <c r="K29" i="25"/>
  <c r="J66" i="25"/>
  <c r="K69" i="25"/>
  <c r="L69" i="25" s="1"/>
  <c r="J74" i="25"/>
  <c r="F135" i="25"/>
  <c r="K62" i="25"/>
  <c r="D13" i="25"/>
  <c r="K25" i="25"/>
  <c r="J28" i="25"/>
  <c r="K34" i="25"/>
  <c r="M34" i="25" s="1"/>
  <c r="J63" i="25"/>
  <c r="K66" i="25"/>
  <c r="L66" i="25" s="1"/>
  <c r="J71" i="25"/>
  <c r="H97" i="25"/>
  <c r="J97" i="25" s="1"/>
  <c r="F133" i="25" s="1"/>
  <c r="D18" i="25"/>
  <c r="K30" i="25"/>
  <c r="D14" i="25"/>
  <c r="J24" i="25" s="1"/>
  <c r="K28" i="25"/>
  <c r="K32" i="25"/>
  <c r="M32" i="25" s="1"/>
  <c r="J68" i="25"/>
  <c r="J76" i="25"/>
  <c r="K33" i="25"/>
  <c r="M33" i="25" s="1"/>
  <c r="K36" i="25"/>
  <c r="M36" i="25" s="1"/>
  <c r="J31" i="25"/>
  <c r="J65" i="25"/>
  <c r="M2" i="24"/>
  <c r="M2" i="23"/>
  <c r="M2" i="22"/>
  <c r="J47" i="25" l="1"/>
  <c r="L27" i="25"/>
  <c r="J57" i="25"/>
  <c r="N27" i="25"/>
  <c r="N31" i="25"/>
  <c r="J27" i="25"/>
  <c r="M31" i="25"/>
  <c r="J26" i="25"/>
  <c r="J45" i="25"/>
  <c r="J80" i="25" s="1"/>
  <c r="K24" i="25"/>
  <c r="L24" i="25" s="1"/>
  <c r="L30" i="25"/>
  <c r="N30" i="25"/>
  <c r="M30" i="25"/>
  <c r="M25" i="25"/>
  <c r="L25" i="25"/>
  <c r="N25" i="25"/>
  <c r="N29" i="25"/>
  <c r="M29" i="25"/>
  <c r="L29" i="25"/>
  <c r="N26" i="25"/>
  <c r="M26" i="25"/>
  <c r="L26" i="25"/>
  <c r="L28" i="25"/>
  <c r="N28" i="25"/>
  <c r="M28" i="25"/>
  <c r="K23" i="25"/>
  <c r="J23" i="25"/>
  <c r="J39" i="18"/>
  <c r="J82" i="25" l="1"/>
  <c r="G85" i="25" s="1"/>
  <c r="H89" i="25" s="1"/>
  <c r="J89" i="25" s="1"/>
  <c r="F129" i="25" s="1"/>
  <c r="G129" i="25" s="1"/>
  <c r="I129" i="25" s="1"/>
  <c r="M24" i="25"/>
  <c r="N24" i="25"/>
  <c r="L23" i="25"/>
  <c r="L82" i="25" s="1"/>
  <c r="G86" i="25" s="1"/>
  <c r="N23" i="25"/>
  <c r="M23" i="25"/>
  <c r="D2" i="24"/>
  <c r="D124" i="25" l="1"/>
  <c r="F124" i="25" s="1"/>
  <c r="G124" i="25" s="1"/>
  <c r="I124" i="25" s="1"/>
  <c r="J85" i="25"/>
  <c r="M82" i="25"/>
  <c r="G87" i="25" s="1"/>
  <c r="S118" i="25" s="1"/>
  <c r="U118" i="25" s="1"/>
  <c r="N82" i="25"/>
  <c r="G88" i="25" s="1"/>
  <c r="S117" i="25"/>
  <c r="U117" i="25" s="1"/>
  <c r="K17" i="20"/>
  <c r="I140" i="24"/>
  <c r="E126" i="24"/>
  <c r="F126" i="24" s="1"/>
  <c r="U125" i="24"/>
  <c r="T125" i="24"/>
  <c r="E125" i="24"/>
  <c r="E124" i="24"/>
  <c r="C124" i="24"/>
  <c r="U123" i="24"/>
  <c r="T123" i="24"/>
  <c r="U121" i="24"/>
  <c r="T121" i="24"/>
  <c r="C121" i="24"/>
  <c r="C120" i="24"/>
  <c r="I119" i="24"/>
  <c r="H119" i="24"/>
  <c r="G119" i="24"/>
  <c r="C119" i="24"/>
  <c r="J110" i="24"/>
  <c r="J109" i="24"/>
  <c r="D109" i="24"/>
  <c r="J108" i="24"/>
  <c r="J107" i="24"/>
  <c r="F138" i="24" s="1"/>
  <c r="J106" i="24"/>
  <c r="F137" i="24" s="1"/>
  <c r="J105" i="24"/>
  <c r="J104" i="24"/>
  <c r="F136" i="24" s="1"/>
  <c r="K101" i="24"/>
  <c r="J98" i="24"/>
  <c r="H95" i="24"/>
  <c r="J95" i="24" s="1"/>
  <c r="H94" i="24"/>
  <c r="J94" i="24" s="1"/>
  <c r="H93" i="24"/>
  <c r="J93" i="24" s="1"/>
  <c r="U78" i="24"/>
  <c r="K78" i="24" s="1"/>
  <c r="E78" i="24"/>
  <c r="U77" i="24"/>
  <c r="K77" i="24"/>
  <c r="J77" i="24"/>
  <c r="E77" i="24"/>
  <c r="U76" i="24"/>
  <c r="K65" i="24" s="1"/>
  <c r="E76" i="24"/>
  <c r="U75" i="24"/>
  <c r="K75" i="24" s="1"/>
  <c r="E75" i="24"/>
  <c r="U74" i="24"/>
  <c r="K74" i="24" s="1"/>
  <c r="E74" i="24"/>
  <c r="U73" i="24"/>
  <c r="K73" i="24" s="1"/>
  <c r="J73" i="24"/>
  <c r="E73" i="24"/>
  <c r="U72" i="24"/>
  <c r="K72" i="24" s="1"/>
  <c r="E72" i="24"/>
  <c r="U71" i="24"/>
  <c r="K71" i="24" s="1"/>
  <c r="E71" i="24"/>
  <c r="U70" i="24"/>
  <c r="K70" i="24" s="1"/>
  <c r="J70" i="24"/>
  <c r="E70" i="24"/>
  <c r="U69" i="24"/>
  <c r="K69" i="24"/>
  <c r="J69" i="24"/>
  <c r="E69" i="24"/>
  <c r="U68" i="24"/>
  <c r="K64" i="24" s="1"/>
  <c r="K68" i="24"/>
  <c r="J68" i="24"/>
  <c r="E68" i="24"/>
  <c r="L68" i="24" s="1"/>
  <c r="U67" i="24"/>
  <c r="K67" i="24"/>
  <c r="J67" i="24"/>
  <c r="E67" i="24"/>
  <c r="U66" i="24"/>
  <c r="K66" i="24"/>
  <c r="J66" i="24"/>
  <c r="E66" i="24"/>
  <c r="U65" i="24"/>
  <c r="M65" i="24"/>
  <c r="E65" i="24"/>
  <c r="U64" i="24"/>
  <c r="K61" i="24" s="1"/>
  <c r="M64" i="24"/>
  <c r="E64" i="24"/>
  <c r="U63" i="24"/>
  <c r="M63" i="24"/>
  <c r="K63" i="24"/>
  <c r="J63" i="24"/>
  <c r="E63" i="24"/>
  <c r="U62" i="24"/>
  <c r="M62" i="24"/>
  <c r="E62" i="24"/>
  <c r="U61" i="24"/>
  <c r="M61" i="24"/>
  <c r="J61" i="24"/>
  <c r="E61" i="24"/>
  <c r="U60" i="24"/>
  <c r="AC57" i="24"/>
  <c r="AB57" i="24"/>
  <c r="AA57" i="24"/>
  <c r="AE57" i="24" s="1"/>
  <c r="Z57" i="24"/>
  <c r="U57" i="24"/>
  <c r="AC56" i="24"/>
  <c r="AB56" i="24"/>
  <c r="AA56" i="24"/>
  <c r="Z56" i="24"/>
  <c r="AD56" i="24" s="1"/>
  <c r="U56" i="24"/>
  <c r="AC55" i="24"/>
  <c r="AB55" i="24"/>
  <c r="AA55" i="24"/>
  <c r="AE55" i="24" s="1"/>
  <c r="Z55" i="24"/>
  <c r="U55" i="24"/>
  <c r="AC54" i="24"/>
  <c r="AB54" i="24"/>
  <c r="AA54" i="24"/>
  <c r="Z54" i="24"/>
  <c r="U54" i="24"/>
  <c r="AC53" i="24"/>
  <c r="AB53" i="24"/>
  <c r="AA53" i="24"/>
  <c r="Z53" i="24"/>
  <c r="U53" i="24"/>
  <c r="AC52" i="24"/>
  <c r="AB52" i="24"/>
  <c r="AA52" i="24"/>
  <c r="Z52" i="24"/>
  <c r="AD52" i="24" s="1"/>
  <c r="J52" i="24" s="1"/>
  <c r="U52" i="24"/>
  <c r="AC51" i="24"/>
  <c r="AB51" i="24"/>
  <c r="AA51" i="24"/>
  <c r="AE51" i="24" s="1"/>
  <c r="Z51" i="24"/>
  <c r="U51" i="24"/>
  <c r="AC50" i="24"/>
  <c r="AB50" i="24"/>
  <c r="AA50" i="24"/>
  <c r="Z50" i="24"/>
  <c r="U50" i="24"/>
  <c r="AC49" i="24"/>
  <c r="AB49" i="24"/>
  <c r="AA49" i="24"/>
  <c r="Z49" i="24"/>
  <c r="U49" i="24"/>
  <c r="AC48" i="24"/>
  <c r="AB48" i="24"/>
  <c r="AA48" i="24"/>
  <c r="Z48" i="24"/>
  <c r="AD48" i="24" s="1"/>
  <c r="U48" i="24"/>
  <c r="AC47" i="24"/>
  <c r="AB47" i="24"/>
  <c r="AA47" i="24"/>
  <c r="AE47" i="24" s="1"/>
  <c r="Z47" i="24"/>
  <c r="U47" i="24"/>
  <c r="AC46" i="24"/>
  <c r="AB46" i="24"/>
  <c r="AA46" i="24"/>
  <c r="Z46" i="24"/>
  <c r="U46" i="24"/>
  <c r="AC45" i="24"/>
  <c r="AB45" i="24"/>
  <c r="AA45" i="24"/>
  <c r="Z45" i="24"/>
  <c r="U45" i="24"/>
  <c r="AC44" i="24"/>
  <c r="AB44" i="24"/>
  <c r="AA44" i="24"/>
  <c r="Z44" i="24"/>
  <c r="AD44" i="24" s="1"/>
  <c r="J41" i="24" s="1"/>
  <c r="U44" i="24"/>
  <c r="M44" i="24"/>
  <c r="AC43" i="24"/>
  <c r="AB43" i="24"/>
  <c r="AA43" i="24"/>
  <c r="Z43" i="24"/>
  <c r="U43" i="24"/>
  <c r="M43" i="24"/>
  <c r="AC42" i="24"/>
  <c r="AB42" i="24"/>
  <c r="AA42" i="24"/>
  <c r="Z42" i="24"/>
  <c r="AD42" i="24" s="1"/>
  <c r="U42" i="24"/>
  <c r="M42" i="24"/>
  <c r="AC41" i="24"/>
  <c r="AB41" i="24"/>
  <c r="AA41" i="24"/>
  <c r="Z41" i="24"/>
  <c r="U41" i="24"/>
  <c r="M41" i="24"/>
  <c r="AC40" i="24"/>
  <c r="AB40" i="24"/>
  <c r="AA40" i="24"/>
  <c r="Z40" i="24"/>
  <c r="U40" i="24"/>
  <c r="M40" i="24"/>
  <c r="AC39" i="24"/>
  <c r="AE39" i="24" s="1"/>
  <c r="AB39" i="24"/>
  <c r="AA39" i="24"/>
  <c r="Z39" i="24"/>
  <c r="AD39" i="24" s="1"/>
  <c r="U39" i="24"/>
  <c r="F36" i="24"/>
  <c r="F35" i="24"/>
  <c r="F34" i="24"/>
  <c r="C33" i="24"/>
  <c r="F33" i="24" s="1"/>
  <c r="C32" i="24"/>
  <c r="F32" i="24" s="1"/>
  <c r="F31" i="24"/>
  <c r="F30" i="24"/>
  <c r="F29" i="24"/>
  <c r="F27" i="24"/>
  <c r="F26" i="24"/>
  <c r="F25" i="24"/>
  <c r="F24" i="24"/>
  <c r="F23" i="24"/>
  <c r="N21" i="24"/>
  <c r="M21" i="24"/>
  <c r="N81" i="24" s="1"/>
  <c r="D88" i="24" s="1"/>
  <c r="C126" i="24" s="1"/>
  <c r="L21" i="24"/>
  <c r="M81" i="24" s="1"/>
  <c r="D87" i="24" s="1"/>
  <c r="R118" i="24" s="1"/>
  <c r="J21" i="24"/>
  <c r="J81" i="24" s="1"/>
  <c r="D14" i="24"/>
  <c r="D11" i="24"/>
  <c r="D16" i="24" s="1"/>
  <c r="D10" i="24"/>
  <c r="K35" i="24" s="1"/>
  <c r="M35" i="24" s="1"/>
  <c r="K90" i="22"/>
  <c r="H92" i="17"/>
  <c r="H92" i="22"/>
  <c r="H92" i="23"/>
  <c r="H94" i="23" s="1"/>
  <c r="J94" i="23" s="1"/>
  <c r="H93" i="23"/>
  <c r="J93" i="23" s="1"/>
  <c r="D2" i="23"/>
  <c r="D2" i="22"/>
  <c r="F135" i="23"/>
  <c r="E125" i="23"/>
  <c r="F125" i="23" s="1"/>
  <c r="U124" i="23"/>
  <c r="T124" i="23"/>
  <c r="E124" i="23"/>
  <c r="E123" i="23"/>
  <c r="C123" i="23"/>
  <c r="U122" i="23"/>
  <c r="T122" i="23"/>
  <c r="U120" i="23"/>
  <c r="T120" i="23"/>
  <c r="C120" i="23"/>
  <c r="C119" i="23"/>
  <c r="I118" i="23"/>
  <c r="H118" i="23"/>
  <c r="G118" i="23"/>
  <c r="C118" i="23"/>
  <c r="J109" i="23"/>
  <c r="J108" i="23"/>
  <c r="D108" i="23"/>
  <c r="J107" i="23"/>
  <c r="J106" i="23"/>
  <c r="F137" i="23" s="1"/>
  <c r="J105" i="23"/>
  <c r="F136" i="23" s="1"/>
  <c r="J104" i="23"/>
  <c r="J103" i="23"/>
  <c r="F134" i="23" s="1"/>
  <c r="K100" i="23"/>
  <c r="J98" i="23"/>
  <c r="J97" i="23"/>
  <c r="U78" i="23"/>
  <c r="K78" i="23"/>
  <c r="J78" i="23"/>
  <c r="E78" i="23"/>
  <c r="U77" i="23"/>
  <c r="K77" i="23" s="1"/>
  <c r="L77" i="23" s="1"/>
  <c r="E77" i="23"/>
  <c r="U76" i="23"/>
  <c r="K65" i="23" s="1"/>
  <c r="E76" i="23"/>
  <c r="U75" i="23"/>
  <c r="K75" i="23" s="1"/>
  <c r="J75" i="23"/>
  <c r="E75" i="23"/>
  <c r="L75" i="23" s="1"/>
  <c r="U74" i="23"/>
  <c r="K74" i="23"/>
  <c r="J74" i="23"/>
  <c r="E74" i="23"/>
  <c r="L74" i="23" s="1"/>
  <c r="U73" i="23"/>
  <c r="K73" i="23"/>
  <c r="J73" i="23"/>
  <c r="E73" i="23"/>
  <c r="L73" i="23" s="1"/>
  <c r="U72" i="23"/>
  <c r="K72" i="23" s="1"/>
  <c r="J72" i="23"/>
  <c r="E72" i="23"/>
  <c r="U71" i="23"/>
  <c r="K71" i="23"/>
  <c r="J71" i="23"/>
  <c r="E71" i="23"/>
  <c r="U70" i="23"/>
  <c r="K70" i="23"/>
  <c r="J70" i="23"/>
  <c r="E70" i="23"/>
  <c r="L70" i="23" s="1"/>
  <c r="U69" i="23"/>
  <c r="K69" i="23"/>
  <c r="J69" i="23"/>
  <c r="E69" i="23"/>
  <c r="U68" i="23"/>
  <c r="K64" i="23" s="1"/>
  <c r="K68" i="23"/>
  <c r="J68" i="23"/>
  <c r="E68" i="23"/>
  <c r="L68" i="23" s="1"/>
  <c r="U67" i="23"/>
  <c r="K67" i="23"/>
  <c r="J67" i="23"/>
  <c r="E67" i="23"/>
  <c r="L67" i="23" s="1"/>
  <c r="U66" i="23"/>
  <c r="K66" i="23"/>
  <c r="J66" i="23"/>
  <c r="E66" i="23"/>
  <c r="U65" i="23"/>
  <c r="M65" i="23"/>
  <c r="E65" i="23"/>
  <c r="U64" i="23"/>
  <c r="M64" i="23"/>
  <c r="E64" i="23"/>
  <c r="U63" i="23"/>
  <c r="M63" i="23"/>
  <c r="K63" i="23"/>
  <c r="J63" i="23"/>
  <c r="E63" i="23"/>
  <c r="U62" i="23"/>
  <c r="M62" i="23"/>
  <c r="K62" i="23"/>
  <c r="J62" i="23"/>
  <c r="E62" i="23"/>
  <c r="U61" i="23"/>
  <c r="M61" i="23"/>
  <c r="K61" i="23"/>
  <c r="J61" i="23"/>
  <c r="E61" i="23"/>
  <c r="U60" i="23"/>
  <c r="AC57" i="23"/>
  <c r="AB57" i="23"/>
  <c r="AA57" i="23"/>
  <c r="AE57" i="23" s="1"/>
  <c r="Z57" i="23"/>
  <c r="AD57" i="23" s="1"/>
  <c r="U57" i="23"/>
  <c r="AC56" i="23"/>
  <c r="AB56" i="23"/>
  <c r="AA56" i="23"/>
  <c r="AE56" i="23" s="1"/>
  <c r="Z56" i="23"/>
  <c r="AD56" i="23" s="1"/>
  <c r="U56" i="23"/>
  <c r="AC55" i="23"/>
  <c r="AB55" i="23"/>
  <c r="AA55" i="23"/>
  <c r="AE55" i="23" s="1"/>
  <c r="Z55" i="23"/>
  <c r="AD55" i="23" s="1"/>
  <c r="U55" i="23"/>
  <c r="AC54" i="23"/>
  <c r="AB54" i="23"/>
  <c r="AA54" i="23"/>
  <c r="AE54" i="23" s="1"/>
  <c r="Z54" i="23"/>
  <c r="AD54" i="23" s="1"/>
  <c r="U54" i="23"/>
  <c r="AC53" i="23"/>
  <c r="AB53" i="23"/>
  <c r="AA53" i="23"/>
  <c r="AE53" i="23" s="1"/>
  <c r="Z53" i="23"/>
  <c r="AD53" i="23" s="1"/>
  <c r="J53" i="23" s="1"/>
  <c r="U53" i="23"/>
  <c r="AC52" i="23"/>
  <c r="AB52" i="23"/>
  <c r="AA52" i="23"/>
  <c r="AE52" i="23" s="1"/>
  <c r="Z52" i="23"/>
  <c r="AD52" i="23" s="1"/>
  <c r="J52" i="23" s="1"/>
  <c r="U52" i="23"/>
  <c r="AC51" i="23"/>
  <c r="AB51" i="23"/>
  <c r="AA51" i="23"/>
  <c r="AE51" i="23" s="1"/>
  <c r="Z51" i="23"/>
  <c r="AD51" i="23" s="1"/>
  <c r="J51" i="23" s="1"/>
  <c r="U51" i="23"/>
  <c r="AC50" i="23"/>
  <c r="AB50" i="23"/>
  <c r="AA50" i="23"/>
  <c r="AE50" i="23" s="1"/>
  <c r="Z50" i="23"/>
  <c r="AD50" i="23" s="1"/>
  <c r="J42" i="23" s="1"/>
  <c r="U50" i="23"/>
  <c r="AC49" i="23"/>
  <c r="AB49" i="23"/>
  <c r="AA49" i="23"/>
  <c r="AE49" i="23" s="1"/>
  <c r="Z49" i="23"/>
  <c r="AD49" i="23" s="1"/>
  <c r="U49" i="23"/>
  <c r="AC48" i="23"/>
  <c r="AB48" i="23"/>
  <c r="AA48" i="23"/>
  <c r="AE48" i="23" s="1"/>
  <c r="Z48" i="23"/>
  <c r="AD48" i="23" s="1"/>
  <c r="U48" i="23"/>
  <c r="AC47" i="23"/>
  <c r="AB47" i="23"/>
  <c r="AA47" i="23"/>
  <c r="AE47" i="23" s="1"/>
  <c r="Z47" i="23"/>
  <c r="AD47" i="23" s="1"/>
  <c r="J43" i="23" s="1"/>
  <c r="U47" i="23"/>
  <c r="AC46" i="23"/>
  <c r="AB46" i="23"/>
  <c r="AA46" i="23"/>
  <c r="AE46" i="23" s="1"/>
  <c r="Z46" i="23"/>
  <c r="AD46" i="23" s="1"/>
  <c r="U46" i="23"/>
  <c r="AC45" i="23"/>
  <c r="AB45" i="23"/>
  <c r="AA45" i="23"/>
  <c r="AE45" i="23" s="1"/>
  <c r="Z45" i="23"/>
  <c r="AD45" i="23" s="1"/>
  <c r="U45" i="23"/>
  <c r="AC44" i="23"/>
  <c r="AB44" i="23"/>
  <c r="AA44" i="23"/>
  <c r="AE44" i="23" s="1"/>
  <c r="Z44" i="23"/>
  <c r="AD44" i="23" s="1"/>
  <c r="J41" i="23" s="1"/>
  <c r="U44" i="23"/>
  <c r="M44" i="23"/>
  <c r="AC43" i="23"/>
  <c r="AB43" i="23"/>
  <c r="AA43" i="23"/>
  <c r="AE43" i="23" s="1"/>
  <c r="Z43" i="23"/>
  <c r="AD43" i="23" s="1"/>
  <c r="J40" i="23" s="1"/>
  <c r="U43" i="23"/>
  <c r="M43" i="23"/>
  <c r="AC42" i="23"/>
  <c r="AB42" i="23"/>
  <c r="AA42" i="23"/>
  <c r="AE42" i="23" s="1"/>
  <c r="Z42" i="23"/>
  <c r="AD42" i="23" s="1"/>
  <c r="U42" i="23"/>
  <c r="M42" i="23"/>
  <c r="AC41" i="23"/>
  <c r="AB41" i="23"/>
  <c r="AD41" i="23" s="1"/>
  <c r="AA41" i="23"/>
  <c r="AE41" i="23" s="1"/>
  <c r="Z41" i="23"/>
  <c r="U41" i="23"/>
  <c r="M41" i="23"/>
  <c r="AC40" i="23"/>
  <c r="AE40" i="23" s="1"/>
  <c r="AB40" i="23"/>
  <c r="AD40" i="23" s="1"/>
  <c r="AA40" i="23"/>
  <c r="Z40" i="23"/>
  <c r="U40" i="23"/>
  <c r="M40" i="23"/>
  <c r="AC39" i="23"/>
  <c r="AE39" i="23" s="1"/>
  <c r="AB39" i="23"/>
  <c r="AA39" i="23"/>
  <c r="Z39" i="23"/>
  <c r="AD39" i="23" s="1"/>
  <c r="U39" i="23"/>
  <c r="F36" i="23"/>
  <c r="F35" i="23"/>
  <c r="F34" i="23"/>
  <c r="C33" i="23"/>
  <c r="F33" i="23" s="1"/>
  <c r="C32" i="23"/>
  <c r="F32" i="23" s="1"/>
  <c r="F31" i="23"/>
  <c r="F30" i="23"/>
  <c r="F29" i="23"/>
  <c r="F27" i="23"/>
  <c r="F26" i="23"/>
  <c r="F25" i="23"/>
  <c r="F24" i="23"/>
  <c r="F23" i="23"/>
  <c r="N21" i="23"/>
  <c r="M21" i="23"/>
  <c r="N81" i="23" s="1"/>
  <c r="D88" i="23" s="1"/>
  <c r="C125" i="23" s="1"/>
  <c r="L21" i="23"/>
  <c r="M81" i="23" s="1"/>
  <c r="D87" i="23" s="1"/>
  <c r="R117" i="23" s="1"/>
  <c r="J21" i="23"/>
  <c r="J81" i="23" s="1"/>
  <c r="D17" i="23"/>
  <c r="D14" i="23"/>
  <c r="D13" i="23"/>
  <c r="D11" i="23"/>
  <c r="D16" i="23" s="1"/>
  <c r="D10" i="23"/>
  <c r="K35" i="23" s="1"/>
  <c r="M35" i="23" s="1"/>
  <c r="F134" i="22"/>
  <c r="F135" i="22"/>
  <c r="H93" i="22"/>
  <c r="H95" i="22" s="1"/>
  <c r="J95" i="22" s="1"/>
  <c r="J92" i="22"/>
  <c r="E125" i="22"/>
  <c r="F125" i="22" s="1"/>
  <c r="U124" i="22"/>
  <c r="T124" i="22"/>
  <c r="E124" i="22"/>
  <c r="E123" i="22"/>
  <c r="C123" i="22"/>
  <c r="U122" i="22"/>
  <c r="T122" i="22"/>
  <c r="U120" i="22"/>
  <c r="T120" i="22"/>
  <c r="C120" i="22"/>
  <c r="C119" i="22"/>
  <c r="I118" i="22"/>
  <c r="H118" i="22"/>
  <c r="G118" i="22"/>
  <c r="C118" i="22"/>
  <c r="J109" i="22"/>
  <c r="J108" i="22"/>
  <c r="D108" i="22"/>
  <c r="J107" i="22"/>
  <c r="J106" i="22"/>
  <c r="F137" i="22" s="1"/>
  <c r="J105" i="22"/>
  <c r="F136" i="22" s="1"/>
  <c r="J104" i="22"/>
  <c r="J103" i="22"/>
  <c r="K100" i="22"/>
  <c r="J98" i="22"/>
  <c r="J97" i="22"/>
  <c r="U78" i="22"/>
  <c r="K78" i="22"/>
  <c r="J78" i="22"/>
  <c r="E78" i="22"/>
  <c r="U77" i="22"/>
  <c r="K77" i="22"/>
  <c r="J77" i="22"/>
  <c r="E77" i="22"/>
  <c r="L77" i="22" s="1"/>
  <c r="U76" i="22"/>
  <c r="J76" i="22" s="1"/>
  <c r="K76" i="22"/>
  <c r="E76" i="22"/>
  <c r="U75" i="22"/>
  <c r="K75" i="22"/>
  <c r="J75" i="22"/>
  <c r="E75" i="22"/>
  <c r="U74" i="22"/>
  <c r="K74" i="22" s="1"/>
  <c r="E74" i="22"/>
  <c r="U73" i="22"/>
  <c r="K73" i="22"/>
  <c r="J73" i="22"/>
  <c r="E73" i="22"/>
  <c r="U72" i="22"/>
  <c r="K72" i="22" s="1"/>
  <c r="E72" i="22"/>
  <c r="U71" i="22"/>
  <c r="K71" i="22"/>
  <c r="J71" i="22"/>
  <c r="E71" i="22"/>
  <c r="U70" i="22"/>
  <c r="K70" i="22" s="1"/>
  <c r="J70" i="22"/>
  <c r="E70" i="22"/>
  <c r="U69" i="22"/>
  <c r="K69" i="22"/>
  <c r="J69" i="22"/>
  <c r="E69" i="22"/>
  <c r="U68" i="22"/>
  <c r="K68" i="22"/>
  <c r="J68" i="22"/>
  <c r="E68" i="22"/>
  <c r="L68" i="22" s="1"/>
  <c r="U67" i="22"/>
  <c r="K67" i="22"/>
  <c r="J67" i="22"/>
  <c r="E67" i="22"/>
  <c r="L67" i="22" s="1"/>
  <c r="U66" i="22"/>
  <c r="K66" i="22"/>
  <c r="J66" i="22"/>
  <c r="E66" i="22"/>
  <c r="L66" i="22" s="1"/>
  <c r="U65" i="22"/>
  <c r="M65" i="22"/>
  <c r="K65" i="22"/>
  <c r="J65" i="22"/>
  <c r="E65" i="22"/>
  <c r="U64" i="22"/>
  <c r="M64" i="22"/>
  <c r="K64" i="22"/>
  <c r="J64" i="22"/>
  <c r="E64" i="22"/>
  <c r="U63" i="22"/>
  <c r="M63" i="22"/>
  <c r="K63" i="22"/>
  <c r="J63" i="22"/>
  <c r="E63" i="22"/>
  <c r="U62" i="22"/>
  <c r="M62" i="22"/>
  <c r="K62" i="22"/>
  <c r="J62" i="22"/>
  <c r="E62" i="22"/>
  <c r="U61" i="22"/>
  <c r="M61" i="22"/>
  <c r="K61" i="22"/>
  <c r="J61" i="22"/>
  <c r="E61" i="22"/>
  <c r="U60" i="22"/>
  <c r="AD57" i="22"/>
  <c r="J57" i="22" s="1"/>
  <c r="AC57" i="22"/>
  <c r="AB57" i="22"/>
  <c r="AA57" i="22"/>
  <c r="AE57" i="22" s="1"/>
  <c r="Z57" i="22"/>
  <c r="U57" i="22"/>
  <c r="AD56" i="22"/>
  <c r="J56" i="22" s="1"/>
  <c r="AC56" i="22"/>
  <c r="AB56" i="22"/>
  <c r="AA56" i="22"/>
  <c r="AE56" i="22" s="1"/>
  <c r="Z56" i="22"/>
  <c r="U56" i="22"/>
  <c r="AD55" i="22"/>
  <c r="J55" i="22" s="1"/>
  <c r="AC55" i="22"/>
  <c r="AB55" i="22"/>
  <c r="AA55" i="22"/>
  <c r="AE55" i="22" s="1"/>
  <c r="Z55" i="22"/>
  <c r="U55" i="22"/>
  <c r="AD54" i="22"/>
  <c r="J54" i="22" s="1"/>
  <c r="AC54" i="22"/>
  <c r="AB54" i="22"/>
  <c r="AA54" i="22"/>
  <c r="AE54" i="22" s="1"/>
  <c r="Z54" i="22"/>
  <c r="U54" i="22"/>
  <c r="AD53" i="22"/>
  <c r="J53" i="22" s="1"/>
  <c r="AC53" i="22"/>
  <c r="AB53" i="22"/>
  <c r="AA53" i="22"/>
  <c r="AE53" i="22" s="1"/>
  <c r="Z53" i="22"/>
  <c r="U53" i="22"/>
  <c r="AD52" i="22"/>
  <c r="J52" i="22" s="1"/>
  <c r="AC52" i="22"/>
  <c r="AB52" i="22"/>
  <c r="AA52" i="22"/>
  <c r="AE52" i="22" s="1"/>
  <c r="Z52" i="22"/>
  <c r="U52" i="22"/>
  <c r="AD51" i="22"/>
  <c r="J51" i="22" s="1"/>
  <c r="AC51" i="22"/>
  <c r="AB51" i="22"/>
  <c r="AA51" i="22"/>
  <c r="AE51" i="22" s="1"/>
  <c r="Z51" i="22"/>
  <c r="U51" i="22"/>
  <c r="AD50" i="22"/>
  <c r="J42" i="22" s="1"/>
  <c r="AC50" i="22"/>
  <c r="AB50" i="22"/>
  <c r="AA50" i="22"/>
  <c r="AE50" i="22" s="1"/>
  <c r="Z50" i="22"/>
  <c r="U50" i="22"/>
  <c r="AD49" i="22"/>
  <c r="AC49" i="22"/>
  <c r="AB49" i="22"/>
  <c r="AA49" i="22"/>
  <c r="AE49" i="22" s="1"/>
  <c r="Z49" i="22"/>
  <c r="U49" i="22"/>
  <c r="AD48" i="22"/>
  <c r="AC48" i="22"/>
  <c r="AB48" i="22"/>
  <c r="AA48" i="22"/>
  <c r="AE48" i="22" s="1"/>
  <c r="Z48" i="22"/>
  <c r="U48" i="22"/>
  <c r="AD47" i="22"/>
  <c r="AC47" i="22"/>
  <c r="AB47" i="22"/>
  <c r="AA47" i="22"/>
  <c r="AE47" i="22" s="1"/>
  <c r="Z47" i="22"/>
  <c r="U47" i="22"/>
  <c r="AD46" i="22"/>
  <c r="AC46" i="22"/>
  <c r="AB46" i="22"/>
  <c r="AA46" i="22"/>
  <c r="AE46" i="22" s="1"/>
  <c r="Z46" i="22"/>
  <c r="U46" i="22"/>
  <c r="AD45" i="22"/>
  <c r="AC45" i="22"/>
  <c r="AB45" i="22"/>
  <c r="AA45" i="22"/>
  <c r="AE45" i="22" s="1"/>
  <c r="Z45" i="22"/>
  <c r="U45" i="22"/>
  <c r="AD44" i="22"/>
  <c r="J41" i="22" s="1"/>
  <c r="AC44" i="22"/>
  <c r="AB44" i="22"/>
  <c r="AA44" i="22"/>
  <c r="AE44" i="22" s="1"/>
  <c r="Z44" i="22"/>
  <c r="U44" i="22"/>
  <c r="M44" i="22"/>
  <c r="AE43" i="22"/>
  <c r="AC43" i="22"/>
  <c r="AB43" i="22"/>
  <c r="AA43" i="22"/>
  <c r="Z43" i="22"/>
  <c r="AD43" i="22" s="1"/>
  <c r="J40" i="22" s="1"/>
  <c r="U43" i="22"/>
  <c r="M43" i="22"/>
  <c r="J43" i="22"/>
  <c r="AC42" i="22"/>
  <c r="AB42" i="22"/>
  <c r="AA42" i="22"/>
  <c r="AE42" i="22" s="1"/>
  <c r="Z42" i="22"/>
  <c r="AD42" i="22" s="1"/>
  <c r="U42" i="22"/>
  <c r="M42" i="22"/>
  <c r="AC41" i="22"/>
  <c r="AB41" i="22"/>
  <c r="AD41" i="22" s="1"/>
  <c r="AA41" i="22"/>
  <c r="AE41" i="22" s="1"/>
  <c r="Z41" i="22"/>
  <c r="U41" i="22"/>
  <c r="M41" i="22"/>
  <c r="AC40" i="22"/>
  <c r="AE40" i="22" s="1"/>
  <c r="AB40" i="22"/>
  <c r="AA40" i="22"/>
  <c r="Z40" i="22"/>
  <c r="AD40" i="22" s="1"/>
  <c r="U40" i="22"/>
  <c r="M40" i="22"/>
  <c r="AD39" i="22"/>
  <c r="AC39" i="22"/>
  <c r="AB39" i="22"/>
  <c r="AA39" i="22"/>
  <c r="AE39" i="22" s="1"/>
  <c r="Z39" i="22"/>
  <c r="U39" i="22"/>
  <c r="F36" i="22"/>
  <c r="F35" i="22"/>
  <c r="F34" i="22"/>
  <c r="C33" i="22"/>
  <c r="F33" i="22" s="1"/>
  <c r="C32" i="22"/>
  <c r="F32" i="22" s="1"/>
  <c r="J31" i="22"/>
  <c r="F31" i="22"/>
  <c r="F30" i="22"/>
  <c r="F29" i="22"/>
  <c r="F27" i="22"/>
  <c r="F26" i="22"/>
  <c r="F25" i="22"/>
  <c r="F24" i="22"/>
  <c r="F23" i="22"/>
  <c r="N21" i="22"/>
  <c r="M21" i="22"/>
  <c r="N81" i="22" s="1"/>
  <c r="D88" i="22" s="1"/>
  <c r="C125" i="22" s="1"/>
  <c r="L21" i="22"/>
  <c r="M81" i="22" s="1"/>
  <c r="D87" i="22" s="1"/>
  <c r="R117" i="22" s="1"/>
  <c r="J21" i="22"/>
  <c r="J81" i="22" s="1"/>
  <c r="D13" i="22"/>
  <c r="M11" i="22"/>
  <c r="D5" i="22" s="1"/>
  <c r="D121" i="22" s="1"/>
  <c r="D11" i="22"/>
  <c r="D14" i="22" s="1"/>
  <c r="D10" i="22"/>
  <c r="K32" i="22" s="1"/>
  <c r="M32" i="22" s="1"/>
  <c r="AE42" i="24" l="1"/>
  <c r="AD45" i="24"/>
  <c r="AE48" i="24"/>
  <c r="AD53" i="24"/>
  <c r="J53" i="24" s="1"/>
  <c r="AE56" i="24"/>
  <c r="J78" i="24"/>
  <c r="AD41" i="24"/>
  <c r="D17" i="24"/>
  <c r="J27" i="24" s="1"/>
  <c r="AE41" i="24"/>
  <c r="AD47" i="24"/>
  <c r="J43" i="24" s="1"/>
  <c r="AE50" i="24"/>
  <c r="AD55" i="24"/>
  <c r="J44" i="24" s="1"/>
  <c r="AE44" i="24"/>
  <c r="AD49" i="24"/>
  <c r="AE52" i="24"/>
  <c r="AD57" i="24"/>
  <c r="J46" i="24" s="1"/>
  <c r="D13" i="24"/>
  <c r="K23" i="24" s="1"/>
  <c r="N23" i="24" s="1"/>
  <c r="J62" i="24"/>
  <c r="L75" i="24"/>
  <c r="AE45" i="24"/>
  <c r="AD50" i="24"/>
  <c r="J42" i="24" s="1"/>
  <c r="AE53" i="24"/>
  <c r="K62" i="24"/>
  <c r="L73" i="24"/>
  <c r="J75" i="24"/>
  <c r="L67" i="24"/>
  <c r="AD40" i="24"/>
  <c r="AE49" i="24"/>
  <c r="L72" i="24"/>
  <c r="AD43" i="24"/>
  <c r="J40" i="24" s="1"/>
  <c r="AD46" i="24"/>
  <c r="AD54" i="24"/>
  <c r="J54" i="24" s="1"/>
  <c r="AE40" i="24"/>
  <c r="AE43" i="24"/>
  <c r="AE46" i="24"/>
  <c r="AD51" i="24"/>
  <c r="J51" i="24" s="1"/>
  <c r="AE54" i="24"/>
  <c r="J72" i="24"/>
  <c r="J74" i="24"/>
  <c r="M80" i="24"/>
  <c r="M80" i="23"/>
  <c r="L69" i="23"/>
  <c r="L71" i="23"/>
  <c r="L66" i="24"/>
  <c r="L74" i="24"/>
  <c r="L78" i="22"/>
  <c r="L70" i="24"/>
  <c r="L77" i="24"/>
  <c r="L69" i="24"/>
  <c r="L78" i="24"/>
  <c r="U119" i="25"/>
  <c r="U126" i="25" s="1"/>
  <c r="L75" i="22"/>
  <c r="L66" i="23"/>
  <c r="L78" i="23"/>
  <c r="L81" i="22"/>
  <c r="D86" i="22" s="1"/>
  <c r="J30" i="24"/>
  <c r="G103" i="24"/>
  <c r="J103" i="24" s="1"/>
  <c r="K103" i="24" s="1"/>
  <c r="J55" i="24"/>
  <c r="J45" i="24"/>
  <c r="J56" i="24"/>
  <c r="D85" i="24"/>
  <c r="N85" i="24"/>
  <c r="L71" i="24"/>
  <c r="J48" i="24"/>
  <c r="F130" i="24"/>
  <c r="L74" i="22"/>
  <c r="D18" i="24"/>
  <c r="L23" i="24"/>
  <c r="J26" i="24"/>
  <c r="K30" i="24"/>
  <c r="K33" i="24"/>
  <c r="M33" i="24" s="1"/>
  <c r="J64" i="24"/>
  <c r="M23" i="24"/>
  <c r="K26" i="24"/>
  <c r="J29" i="24"/>
  <c r="K36" i="24"/>
  <c r="M36" i="24" s="1"/>
  <c r="H96" i="24"/>
  <c r="J96" i="24" s="1"/>
  <c r="F131" i="24" s="1"/>
  <c r="M11" i="24"/>
  <c r="D5" i="24" s="1"/>
  <c r="D122" i="24" s="1"/>
  <c r="K29" i="24"/>
  <c r="F135" i="24"/>
  <c r="J28" i="24"/>
  <c r="K34" i="24"/>
  <c r="M34" i="24" s="1"/>
  <c r="J71" i="24"/>
  <c r="H97" i="24"/>
  <c r="J97" i="24" s="1"/>
  <c r="F133" i="24" s="1"/>
  <c r="J24" i="24"/>
  <c r="K28" i="24"/>
  <c r="K32" i="24"/>
  <c r="M32" i="24" s="1"/>
  <c r="J76" i="24"/>
  <c r="L71" i="22"/>
  <c r="D15" i="24"/>
  <c r="K25" i="24" s="1"/>
  <c r="K24" i="24"/>
  <c r="J31" i="24"/>
  <c r="J65" i="24"/>
  <c r="K76" i="24"/>
  <c r="L76" i="24" s="1"/>
  <c r="L81" i="24"/>
  <c r="D86" i="24" s="1"/>
  <c r="H102" i="24"/>
  <c r="J102" i="24" s="1"/>
  <c r="J23" i="24"/>
  <c r="K31" i="24"/>
  <c r="J92" i="23"/>
  <c r="J30" i="23"/>
  <c r="K23" i="23"/>
  <c r="N23" i="23" s="1"/>
  <c r="G102" i="23"/>
  <c r="J102" i="23" s="1"/>
  <c r="K102" i="23" s="1"/>
  <c r="K27" i="23"/>
  <c r="N27" i="23" s="1"/>
  <c r="J44" i="23"/>
  <c r="J55" i="23"/>
  <c r="J49" i="23"/>
  <c r="J46" i="23"/>
  <c r="J57" i="23"/>
  <c r="J50" i="23"/>
  <c r="J47" i="23"/>
  <c r="J54" i="23"/>
  <c r="J48" i="23"/>
  <c r="F129" i="23"/>
  <c r="D85" i="23"/>
  <c r="N85" i="23"/>
  <c r="J56" i="23"/>
  <c r="J45" i="23"/>
  <c r="L72" i="23"/>
  <c r="D18" i="23"/>
  <c r="J26" i="23"/>
  <c r="K30" i="23"/>
  <c r="K33" i="23"/>
  <c r="M33" i="23" s="1"/>
  <c r="J64" i="23"/>
  <c r="L72" i="22"/>
  <c r="K26" i="23"/>
  <c r="J29" i="23"/>
  <c r="K36" i="23"/>
  <c r="M36" i="23" s="1"/>
  <c r="J77" i="23"/>
  <c r="H95" i="23"/>
  <c r="J95" i="23" s="1"/>
  <c r="F130" i="23" s="1"/>
  <c r="L73" i="22"/>
  <c r="M11" i="23"/>
  <c r="D5" i="23" s="1"/>
  <c r="D121" i="23" s="1"/>
  <c r="K29" i="23"/>
  <c r="J28" i="23"/>
  <c r="K34" i="23"/>
  <c r="M34" i="23" s="1"/>
  <c r="H96" i="23"/>
  <c r="J96" i="23" s="1"/>
  <c r="F132" i="23" s="1"/>
  <c r="J24" i="23"/>
  <c r="K28" i="23"/>
  <c r="K32" i="23"/>
  <c r="M32" i="23" s="1"/>
  <c r="J76" i="23"/>
  <c r="L76" i="22"/>
  <c r="D15" i="23"/>
  <c r="K25" i="23" s="1"/>
  <c r="K24" i="23"/>
  <c r="J31" i="23"/>
  <c r="J65" i="23"/>
  <c r="K76" i="23"/>
  <c r="L76" i="23" s="1"/>
  <c r="L81" i="23"/>
  <c r="D86" i="23" s="1"/>
  <c r="H101" i="23"/>
  <c r="J101" i="23" s="1"/>
  <c r="L69" i="22"/>
  <c r="J23" i="23"/>
  <c r="J27" i="23"/>
  <c r="K31" i="23"/>
  <c r="M80" i="22"/>
  <c r="D15" i="22"/>
  <c r="J25" i="22" s="1"/>
  <c r="D17" i="22"/>
  <c r="K27" i="22" s="1"/>
  <c r="M27" i="22" s="1"/>
  <c r="K24" i="22"/>
  <c r="M24" i="22" s="1"/>
  <c r="J30" i="22"/>
  <c r="K23" i="22"/>
  <c r="N23" i="22" s="1"/>
  <c r="H101" i="22"/>
  <c r="J101" i="22" s="1"/>
  <c r="C124" i="22"/>
  <c r="R116" i="22"/>
  <c r="L70" i="22"/>
  <c r="D85" i="22"/>
  <c r="N85" i="22"/>
  <c r="D16" i="22"/>
  <c r="J26" i="22" s="1"/>
  <c r="J23" i="22"/>
  <c r="K31" i="22"/>
  <c r="K35" i="22"/>
  <c r="M35" i="22" s="1"/>
  <c r="J44" i="22"/>
  <c r="J93" i="22"/>
  <c r="F130" i="22" s="1"/>
  <c r="J45" i="22"/>
  <c r="J46" i="22"/>
  <c r="J47" i="22"/>
  <c r="J48" i="22"/>
  <c r="J49" i="22"/>
  <c r="J50" i="22"/>
  <c r="H94" i="22"/>
  <c r="J94" i="22" s="1"/>
  <c r="F129" i="22" s="1"/>
  <c r="G102" i="22"/>
  <c r="J102" i="22" s="1"/>
  <c r="K102" i="22" s="1"/>
  <c r="D18" i="22"/>
  <c r="K30" i="22"/>
  <c r="K33" i="22"/>
  <c r="M33" i="22" s="1"/>
  <c r="J72" i="22"/>
  <c r="J29" i="22"/>
  <c r="K36" i="22"/>
  <c r="M36" i="22" s="1"/>
  <c r="K29" i="22"/>
  <c r="J74" i="22"/>
  <c r="J28" i="22"/>
  <c r="K34" i="22"/>
  <c r="M34" i="22" s="1"/>
  <c r="H96" i="22"/>
  <c r="J96" i="22" s="1"/>
  <c r="F132" i="22" s="1"/>
  <c r="J24" i="22"/>
  <c r="K28" i="22"/>
  <c r="E125" i="17"/>
  <c r="E124" i="17"/>
  <c r="E123" i="17"/>
  <c r="C123" i="17"/>
  <c r="J50" i="24" l="1"/>
  <c r="J57" i="24"/>
  <c r="J47" i="24"/>
  <c r="J49" i="24"/>
  <c r="K27" i="24"/>
  <c r="M27" i="24" s="1"/>
  <c r="J80" i="24"/>
  <c r="J25" i="24"/>
  <c r="J82" i="24" s="1"/>
  <c r="G85" i="24" s="1"/>
  <c r="H89" i="24" s="1"/>
  <c r="J89" i="24" s="1"/>
  <c r="F129" i="24" s="1"/>
  <c r="G129" i="24" s="1"/>
  <c r="I129" i="24" s="1"/>
  <c r="L23" i="23"/>
  <c r="M23" i="23"/>
  <c r="N24" i="22"/>
  <c r="L24" i="22"/>
  <c r="J27" i="22"/>
  <c r="J82" i="22" s="1"/>
  <c r="G85" i="22" s="1"/>
  <c r="N25" i="24"/>
  <c r="M25" i="24"/>
  <c r="L25" i="24"/>
  <c r="N26" i="24"/>
  <c r="M26" i="24"/>
  <c r="L26" i="24"/>
  <c r="J80" i="23"/>
  <c r="M28" i="24"/>
  <c r="L28" i="24"/>
  <c r="N28" i="24"/>
  <c r="N29" i="24"/>
  <c r="M29" i="24"/>
  <c r="L29" i="24"/>
  <c r="C125" i="24"/>
  <c r="R117" i="24"/>
  <c r="N30" i="24"/>
  <c r="M30" i="24"/>
  <c r="L30" i="24"/>
  <c r="L31" i="24"/>
  <c r="N31" i="24"/>
  <c r="M31" i="24"/>
  <c r="L24" i="24"/>
  <c r="M24" i="24"/>
  <c r="N24" i="24"/>
  <c r="L27" i="23"/>
  <c r="M27" i="23"/>
  <c r="N25" i="23"/>
  <c r="M25" i="23"/>
  <c r="L25" i="23"/>
  <c r="N29" i="23"/>
  <c r="M29" i="23"/>
  <c r="L29" i="23"/>
  <c r="N26" i="23"/>
  <c r="M26" i="23"/>
  <c r="L26" i="23"/>
  <c r="R116" i="23"/>
  <c r="C124" i="23"/>
  <c r="J25" i="23"/>
  <c r="J82" i="23" s="1"/>
  <c r="G85" i="23" s="1"/>
  <c r="M23" i="22"/>
  <c r="M28" i="23"/>
  <c r="L28" i="23"/>
  <c r="N28" i="23"/>
  <c r="L31" i="23"/>
  <c r="N31" i="23"/>
  <c r="M31" i="23"/>
  <c r="L24" i="23"/>
  <c r="M24" i="23"/>
  <c r="N24" i="23"/>
  <c r="N30" i="23"/>
  <c r="M30" i="23"/>
  <c r="L30" i="23"/>
  <c r="J80" i="22"/>
  <c r="L27" i="22"/>
  <c r="K26" i="22"/>
  <c r="M26" i="22" s="1"/>
  <c r="N27" i="22"/>
  <c r="K25" i="22"/>
  <c r="M25" i="22" s="1"/>
  <c r="L23" i="22"/>
  <c r="M29" i="22"/>
  <c r="L29" i="22"/>
  <c r="N29" i="22"/>
  <c r="L28" i="22"/>
  <c r="N28" i="22"/>
  <c r="M28" i="22"/>
  <c r="N31" i="22"/>
  <c r="M31" i="22"/>
  <c r="L31" i="22"/>
  <c r="N30" i="22"/>
  <c r="M30" i="22"/>
  <c r="L30" i="22"/>
  <c r="H93" i="17"/>
  <c r="L27" i="24" l="1"/>
  <c r="N27" i="24"/>
  <c r="D124" i="24"/>
  <c r="F124" i="24" s="1"/>
  <c r="G124" i="24" s="1"/>
  <c r="I124" i="24" s="1"/>
  <c r="M82" i="24"/>
  <c r="G87" i="24" s="1"/>
  <c r="S118" i="24" s="1"/>
  <c r="U118" i="24" s="1"/>
  <c r="L82" i="24"/>
  <c r="G86" i="24" s="1"/>
  <c r="S117" i="24" s="1"/>
  <c r="U117" i="24" s="1"/>
  <c r="N82" i="23"/>
  <c r="G88" i="23" s="1"/>
  <c r="M82" i="23"/>
  <c r="G87" i="23" s="1"/>
  <c r="S117" i="23" s="1"/>
  <c r="U117" i="23" s="1"/>
  <c r="L25" i="22"/>
  <c r="L82" i="23"/>
  <c r="G86" i="23" s="1"/>
  <c r="S116" i="23" s="1"/>
  <c r="U116" i="23" s="1"/>
  <c r="N82" i="24"/>
  <c r="G88" i="24" s="1"/>
  <c r="N26" i="22"/>
  <c r="H89" i="23"/>
  <c r="J89" i="23" s="1"/>
  <c r="F128" i="23" s="1"/>
  <c r="G128" i="23" s="1"/>
  <c r="I128" i="23" s="1"/>
  <c r="D123" i="23"/>
  <c r="F123" i="23" s="1"/>
  <c r="G123" i="23" s="1"/>
  <c r="I123" i="23" s="1"/>
  <c r="L26" i="22"/>
  <c r="L82" i="22" s="1"/>
  <c r="G86" i="22" s="1"/>
  <c r="N25" i="22"/>
  <c r="M82" i="22"/>
  <c r="G87" i="22" s="1"/>
  <c r="S117" i="22" s="1"/>
  <c r="U117" i="22" s="1"/>
  <c r="D123" i="22"/>
  <c r="F123" i="22" s="1"/>
  <c r="G123" i="22" s="1"/>
  <c r="I123" i="22" s="1"/>
  <c r="H89" i="22"/>
  <c r="J89" i="22" s="1"/>
  <c r="F128" i="22" s="1"/>
  <c r="G128" i="22" s="1"/>
  <c r="I128" i="22" s="1"/>
  <c r="J85" i="22"/>
  <c r="N82" i="22" l="1"/>
  <c r="G88" i="22" s="1"/>
  <c r="U119" i="24"/>
  <c r="U126" i="24" s="1"/>
  <c r="U118" i="23"/>
  <c r="U125" i="23" s="1"/>
  <c r="S116" i="22"/>
  <c r="U116" i="22" s="1"/>
  <c r="U118" i="22" s="1"/>
  <c r="U125" i="22" s="1"/>
  <c r="E11" i="19" l="1"/>
  <c r="E12" i="19" s="1"/>
  <c r="D9" i="19"/>
  <c r="D11" i="19" s="1"/>
  <c r="D12" i="19" s="1"/>
  <c r="C9" i="19"/>
  <c r="C11" i="19" s="1"/>
  <c r="C12" i="19" s="1"/>
  <c r="B9" i="19"/>
  <c r="B11" i="19" s="1"/>
  <c r="B12" i="19" s="1"/>
  <c r="H88" i="25" l="1"/>
  <c r="J88" i="25" s="1"/>
  <c r="H87" i="25"/>
  <c r="J87" i="25" s="1"/>
  <c r="H86" i="25"/>
  <c r="H91" i="25" s="1"/>
  <c r="J91" i="25" s="1"/>
  <c r="K91" i="25" s="1"/>
  <c r="H85" i="24"/>
  <c r="J85" i="24" s="1"/>
  <c r="H85" i="23"/>
  <c r="J85" i="23" s="1"/>
  <c r="H85" i="17"/>
  <c r="H87" i="24"/>
  <c r="J87" i="24" s="1"/>
  <c r="H86" i="23"/>
  <c r="H86" i="24"/>
  <c r="H88" i="22"/>
  <c r="J88" i="22" s="1"/>
  <c r="H88" i="23"/>
  <c r="J88" i="23" s="1"/>
  <c r="H88" i="24"/>
  <c r="J88" i="24" s="1"/>
  <c r="H87" i="22"/>
  <c r="J87" i="22" s="1"/>
  <c r="H86" i="22"/>
  <c r="H87" i="23"/>
  <c r="J87" i="23" s="1"/>
  <c r="H86" i="17"/>
  <c r="H88" i="17"/>
  <c r="H87" i="17"/>
  <c r="H90" i="17"/>
  <c r="H90" i="24" l="1"/>
  <c r="H91" i="24"/>
  <c r="J91" i="24" s="1"/>
  <c r="K91" i="24" s="1"/>
  <c r="H101" i="25"/>
  <c r="J101" i="25" s="1"/>
  <c r="F132" i="25" s="1"/>
  <c r="I130" i="25" s="1"/>
  <c r="H100" i="25"/>
  <c r="J100" i="25" s="1"/>
  <c r="K100" i="25" s="1"/>
  <c r="H90" i="25"/>
  <c r="J90" i="25" s="1"/>
  <c r="K90" i="25" s="1"/>
  <c r="D125" i="25" s="1"/>
  <c r="H92" i="25"/>
  <c r="J92" i="25" s="1"/>
  <c r="J86" i="25"/>
  <c r="H101" i="24"/>
  <c r="J101" i="24" s="1"/>
  <c r="F132" i="24" s="1"/>
  <c r="G130" i="24" s="1"/>
  <c r="I130" i="24" s="1"/>
  <c r="J90" i="24"/>
  <c r="K90" i="24" s="1"/>
  <c r="H100" i="24"/>
  <c r="J100" i="24" s="1"/>
  <c r="K100" i="24" s="1"/>
  <c r="H92" i="24"/>
  <c r="J92" i="24" s="1"/>
  <c r="J86" i="24"/>
  <c r="H100" i="23"/>
  <c r="J100" i="23" s="1"/>
  <c r="F131" i="23" s="1"/>
  <c r="G129" i="23" s="1"/>
  <c r="I129" i="23" s="1"/>
  <c r="H90" i="23"/>
  <c r="J90" i="23" s="1"/>
  <c r="H99" i="23"/>
  <c r="J99" i="23" s="1"/>
  <c r="K99" i="23" s="1"/>
  <c r="D124" i="23" s="1"/>
  <c r="H91" i="23"/>
  <c r="J91" i="23" s="1"/>
  <c r="J86" i="23"/>
  <c r="H100" i="22"/>
  <c r="J100" i="22" s="1"/>
  <c r="F131" i="22" s="1"/>
  <c r="G129" i="22" s="1"/>
  <c r="I129" i="22" s="1"/>
  <c r="H90" i="22"/>
  <c r="J90" i="22" s="1"/>
  <c r="H99" i="22"/>
  <c r="J99" i="22" s="1"/>
  <c r="K99" i="22" s="1"/>
  <c r="D124" i="22" s="1"/>
  <c r="H91" i="22"/>
  <c r="J91" i="22" s="1"/>
  <c r="J86" i="22"/>
  <c r="H100" i="17"/>
  <c r="H99" i="17"/>
  <c r="H118" i="17"/>
  <c r="G118" i="17"/>
  <c r="C120" i="17"/>
  <c r="C119" i="17"/>
  <c r="C118" i="17"/>
  <c r="I118" i="17"/>
  <c r="D125" i="24" l="1"/>
  <c r="D127" i="24"/>
  <c r="F127" i="24" s="1"/>
  <c r="J111" i="25"/>
  <c r="F125" i="25"/>
  <c r="G125" i="25" s="1"/>
  <c r="D128" i="25"/>
  <c r="F128" i="25" s="1"/>
  <c r="D127" i="25"/>
  <c r="F127" i="25" s="1"/>
  <c r="J110" i="23"/>
  <c r="K110" i="23" s="1"/>
  <c r="J110" i="22"/>
  <c r="J112" i="22" s="1"/>
  <c r="J114" i="22" s="1"/>
  <c r="J116" i="22" s="1"/>
  <c r="F124" i="22"/>
  <c r="G124" i="22" s="1"/>
  <c r="D127" i="22"/>
  <c r="F127" i="22" s="1"/>
  <c r="D126" i="22"/>
  <c r="F126" i="22" s="1"/>
  <c r="J111" i="24"/>
  <c r="F124" i="23"/>
  <c r="G124" i="23" s="1"/>
  <c r="D127" i="23"/>
  <c r="F127" i="23" s="1"/>
  <c r="D126" i="23"/>
  <c r="F126" i="23" s="1"/>
  <c r="F125" i="17"/>
  <c r="T124" i="17"/>
  <c r="T122" i="17"/>
  <c r="U124" i="17"/>
  <c r="J109" i="17"/>
  <c r="J108" i="17"/>
  <c r="D108" i="17"/>
  <c r="J107" i="17"/>
  <c r="J106" i="17"/>
  <c r="F137" i="17" s="1"/>
  <c r="J105" i="17"/>
  <c r="F136" i="17" s="1"/>
  <c r="J104" i="17"/>
  <c r="J103" i="17"/>
  <c r="K100" i="17"/>
  <c r="J100" i="17"/>
  <c r="F131" i="17" s="1"/>
  <c r="J99" i="17"/>
  <c r="K99" i="17" s="1"/>
  <c r="J98" i="17"/>
  <c r="J97" i="17"/>
  <c r="H95" i="17"/>
  <c r="J95" i="17" s="1"/>
  <c r="H94" i="17"/>
  <c r="J94" i="17" s="1"/>
  <c r="J90" i="17"/>
  <c r="U78" i="17"/>
  <c r="K66" i="17" s="1"/>
  <c r="E78" i="17"/>
  <c r="U77" i="17"/>
  <c r="K77" i="17" s="1"/>
  <c r="E77" i="17"/>
  <c r="U76" i="17"/>
  <c r="K76" i="17" s="1"/>
  <c r="E76" i="17"/>
  <c r="U75" i="17"/>
  <c r="K75" i="17" s="1"/>
  <c r="E75" i="17"/>
  <c r="U74" i="17"/>
  <c r="K74" i="17" s="1"/>
  <c r="E74" i="17"/>
  <c r="U73" i="17"/>
  <c r="K73" i="17" s="1"/>
  <c r="E73" i="17"/>
  <c r="U72" i="17"/>
  <c r="K72" i="17" s="1"/>
  <c r="E72" i="17"/>
  <c r="U71" i="17"/>
  <c r="J71" i="17" s="1"/>
  <c r="E71" i="17"/>
  <c r="U70" i="17"/>
  <c r="K70" i="17" s="1"/>
  <c r="E70" i="17"/>
  <c r="U69" i="17"/>
  <c r="J69" i="17"/>
  <c r="E69" i="17"/>
  <c r="U68" i="17"/>
  <c r="J64" i="17" s="1"/>
  <c r="J68" i="17"/>
  <c r="E68" i="17"/>
  <c r="U67" i="17"/>
  <c r="J63" i="17" s="1"/>
  <c r="E67" i="17"/>
  <c r="U66" i="17"/>
  <c r="J66" i="17"/>
  <c r="E66" i="17"/>
  <c r="U65" i="17"/>
  <c r="M65" i="17"/>
  <c r="E65" i="17"/>
  <c r="U64" i="17"/>
  <c r="M64" i="17"/>
  <c r="E64" i="17"/>
  <c r="U63" i="17"/>
  <c r="M63" i="17"/>
  <c r="E63" i="17"/>
  <c r="U62" i="17"/>
  <c r="M62" i="17"/>
  <c r="E62" i="17"/>
  <c r="U61" i="17"/>
  <c r="M61" i="17"/>
  <c r="E61" i="17"/>
  <c r="U60" i="17"/>
  <c r="AC57" i="17"/>
  <c r="AB57" i="17"/>
  <c r="AA57" i="17"/>
  <c r="Z57" i="17"/>
  <c r="U57" i="17"/>
  <c r="AC56" i="17"/>
  <c r="AB56" i="17"/>
  <c r="AA56" i="17"/>
  <c r="Z56" i="17"/>
  <c r="U56" i="17"/>
  <c r="AC55" i="17"/>
  <c r="AB55" i="17"/>
  <c r="AA55" i="17"/>
  <c r="Z55" i="17"/>
  <c r="U55" i="17"/>
  <c r="AC54" i="17"/>
  <c r="AB54" i="17"/>
  <c r="AA54" i="17"/>
  <c r="Z54" i="17"/>
  <c r="U54" i="17"/>
  <c r="AC53" i="17"/>
  <c r="AB53" i="17"/>
  <c r="AA53" i="17"/>
  <c r="Z53" i="17"/>
  <c r="U53" i="17"/>
  <c r="AC52" i="17"/>
  <c r="AB52" i="17"/>
  <c r="AA52" i="17"/>
  <c r="AE52" i="17" s="1"/>
  <c r="Z52" i="17"/>
  <c r="U52" i="17"/>
  <c r="AC51" i="17"/>
  <c r="AB51" i="17"/>
  <c r="AA51" i="17"/>
  <c r="Z51" i="17"/>
  <c r="U51" i="17"/>
  <c r="AC50" i="17"/>
  <c r="AB50" i="17"/>
  <c r="AA50" i="17"/>
  <c r="Z50" i="17"/>
  <c r="U50" i="17"/>
  <c r="AC49" i="17"/>
  <c r="AB49" i="17"/>
  <c r="AA49" i="17"/>
  <c r="Z49" i="17"/>
  <c r="U49" i="17"/>
  <c r="AC48" i="17"/>
  <c r="AB48" i="17"/>
  <c r="AA48" i="17"/>
  <c r="Z48" i="17"/>
  <c r="U48" i="17"/>
  <c r="AC47" i="17"/>
  <c r="AB47" i="17"/>
  <c r="AA47" i="17"/>
  <c r="Z47" i="17"/>
  <c r="U47" i="17"/>
  <c r="AC46" i="17"/>
  <c r="AB46" i="17"/>
  <c r="AA46" i="17"/>
  <c r="Z46" i="17"/>
  <c r="U46" i="17"/>
  <c r="AC45" i="17"/>
  <c r="AB45" i="17"/>
  <c r="AA45" i="17"/>
  <c r="Z45" i="17"/>
  <c r="U45" i="17"/>
  <c r="AC44" i="17"/>
  <c r="AB44" i="17"/>
  <c r="AA44" i="17"/>
  <c r="Z44" i="17"/>
  <c r="U44" i="17"/>
  <c r="M44" i="17"/>
  <c r="AC43" i="17"/>
  <c r="AB43" i="17"/>
  <c r="AA43" i="17"/>
  <c r="Z43" i="17"/>
  <c r="U43" i="17"/>
  <c r="M43" i="17"/>
  <c r="AC42" i="17"/>
  <c r="AB42" i="17"/>
  <c r="AA42" i="17"/>
  <c r="Z42" i="17"/>
  <c r="U42" i="17"/>
  <c r="M42" i="17"/>
  <c r="AC41" i="17"/>
  <c r="AB41" i="17"/>
  <c r="AA41" i="17"/>
  <c r="Z41" i="17"/>
  <c r="U41" i="17"/>
  <c r="M41" i="17"/>
  <c r="AC40" i="17"/>
  <c r="AB40" i="17"/>
  <c r="AA40" i="17"/>
  <c r="AE40" i="17" s="1"/>
  <c r="Z40" i="17"/>
  <c r="U40" i="17"/>
  <c r="M40" i="17"/>
  <c r="AC39" i="17"/>
  <c r="AB39" i="17"/>
  <c r="AA39" i="17"/>
  <c r="Z39" i="17"/>
  <c r="U39" i="17"/>
  <c r="F36" i="17"/>
  <c r="F35" i="17"/>
  <c r="F34" i="17"/>
  <c r="F33" i="17"/>
  <c r="F32" i="17"/>
  <c r="F31" i="17"/>
  <c r="F30" i="17"/>
  <c r="F29" i="17"/>
  <c r="F27" i="17"/>
  <c r="F26" i="17"/>
  <c r="F25" i="17"/>
  <c r="F24" i="17"/>
  <c r="F23" i="17"/>
  <c r="N21" i="17"/>
  <c r="M21" i="17"/>
  <c r="N81" i="17" s="1"/>
  <c r="D88" i="17" s="1"/>
  <c r="L21" i="17"/>
  <c r="M81" i="17" s="1"/>
  <c r="D87" i="17" s="1"/>
  <c r="R117" i="17" s="1"/>
  <c r="J21" i="17"/>
  <c r="J81" i="17" s="1"/>
  <c r="N85" i="17" s="1"/>
  <c r="D11" i="17"/>
  <c r="D16" i="17" s="1"/>
  <c r="D10" i="17"/>
  <c r="K32" i="17" s="1"/>
  <c r="G127" i="25" l="1"/>
  <c r="I127" i="25" s="1"/>
  <c r="D128" i="24"/>
  <c r="F128" i="24" s="1"/>
  <c r="G127" i="24" s="1"/>
  <c r="I127" i="24" s="1"/>
  <c r="F125" i="24"/>
  <c r="G125" i="24" s="1"/>
  <c r="I125" i="24" s="1"/>
  <c r="I125" i="25"/>
  <c r="K111" i="25"/>
  <c r="J113" i="25"/>
  <c r="J115" i="25" s="1"/>
  <c r="J117" i="25" s="1"/>
  <c r="F135" i="17"/>
  <c r="F133" i="17"/>
  <c r="J62" i="17"/>
  <c r="K64" i="17"/>
  <c r="K62" i="17"/>
  <c r="G126" i="22"/>
  <c r="I126" i="22" s="1"/>
  <c r="J112" i="23"/>
  <c r="J114" i="23" s="1"/>
  <c r="J116" i="23" s="1"/>
  <c r="G126" i="23"/>
  <c r="I126" i="23" s="1"/>
  <c r="K110" i="22"/>
  <c r="J113" i="24"/>
  <c r="J115" i="24" s="1"/>
  <c r="J117" i="24" s="1"/>
  <c r="K111" i="24"/>
  <c r="I124" i="22"/>
  <c r="I124" i="23"/>
  <c r="C125" i="17"/>
  <c r="K69" i="17"/>
  <c r="J61" i="17"/>
  <c r="K68" i="17"/>
  <c r="L74" i="17"/>
  <c r="AD57" i="17"/>
  <c r="J46" i="17" s="1"/>
  <c r="AD42" i="17"/>
  <c r="AD48" i="17"/>
  <c r="AE51" i="17"/>
  <c r="AE39" i="17"/>
  <c r="J78" i="17"/>
  <c r="AD56" i="17"/>
  <c r="J56" i="17" s="1"/>
  <c r="K34" i="17"/>
  <c r="M34" i="17" s="1"/>
  <c r="H96" i="17"/>
  <c r="J96" i="17" s="1"/>
  <c r="F132" i="17" s="1"/>
  <c r="L72" i="17"/>
  <c r="M80" i="17"/>
  <c r="D15" i="17"/>
  <c r="J25" i="17" s="1"/>
  <c r="AD41" i="17"/>
  <c r="AE45" i="17"/>
  <c r="AD50" i="17"/>
  <c r="AE53" i="17"/>
  <c r="AE41" i="17"/>
  <c r="AE43" i="17"/>
  <c r="AE46" i="17"/>
  <c r="AD51" i="17"/>
  <c r="J51" i="17" s="1"/>
  <c r="AE54" i="17"/>
  <c r="J72" i="17"/>
  <c r="D17" i="17"/>
  <c r="J27" i="17" s="1"/>
  <c r="AE42" i="17"/>
  <c r="K29" i="17"/>
  <c r="N29" i="17" s="1"/>
  <c r="K65" i="17"/>
  <c r="J93" i="17"/>
  <c r="F130" i="17" s="1"/>
  <c r="J65" i="17"/>
  <c r="M11" i="17"/>
  <c r="D5" i="17" s="1"/>
  <c r="D121" i="17" s="1"/>
  <c r="L76" i="17"/>
  <c r="D13" i="17"/>
  <c r="K23" i="17" s="1"/>
  <c r="AD43" i="17"/>
  <c r="AD46" i="17"/>
  <c r="J42" i="17" s="1"/>
  <c r="AE49" i="17"/>
  <c r="AD54" i="17"/>
  <c r="J48" i="17" s="1"/>
  <c r="AE57" i="17"/>
  <c r="J73" i="17"/>
  <c r="J76" i="17"/>
  <c r="D14" i="17"/>
  <c r="K24" i="17" s="1"/>
  <c r="K71" i="17"/>
  <c r="L71" i="17" s="1"/>
  <c r="L69" i="17"/>
  <c r="AD44" i="17"/>
  <c r="AE47" i="17"/>
  <c r="AD52" i="17"/>
  <c r="J52" i="17" s="1"/>
  <c r="AE55" i="17"/>
  <c r="K63" i="17"/>
  <c r="AE44" i="17"/>
  <c r="AD49" i="17"/>
  <c r="J74" i="17"/>
  <c r="J70" i="17"/>
  <c r="AD45" i="17"/>
  <c r="AE48" i="17"/>
  <c r="AD53" i="17"/>
  <c r="J53" i="17" s="1"/>
  <c r="AE56" i="17"/>
  <c r="AD39" i="17"/>
  <c r="AD40" i="17"/>
  <c r="AD47" i="17"/>
  <c r="J43" i="17" s="1"/>
  <c r="AE50" i="17"/>
  <c r="AD55" i="17"/>
  <c r="J55" i="17" s="1"/>
  <c r="K61" i="17"/>
  <c r="L68" i="17"/>
  <c r="L73" i="17"/>
  <c r="L66" i="17"/>
  <c r="T120" i="17"/>
  <c r="L70" i="17"/>
  <c r="J45" i="17"/>
  <c r="L77" i="17"/>
  <c r="L75" i="17"/>
  <c r="D85" i="17"/>
  <c r="J28" i="17"/>
  <c r="M32" i="17"/>
  <c r="L81" i="17"/>
  <c r="D86" i="17" s="1"/>
  <c r="K28" i="17"/>
  <c r="K35" i="17"/>
  <c r="M35" i="17" s="1"/>
  <c r="J31" i="17"/>
  <c r="J67" i="17"/>
  <c r="J75" i="17"/>
  <c r="K78" i="17"/>
  <c r="L78" i="17" s="1"/>
  <c r="K31" i="17"/>
  <c r="K33" i="17"/>
  <c r="M33" i="17" s="1"/>
  <c r="K67" i="17"/>
  <c r="L67" i="17" s="1"/>
  <c r="J92" i="17"/>
  <c r="F129" i="17" s="1"/>
  <c r="H101" i="17"/>
  <c r="J101" i="17" s="1"/>
  <c r="K27" i="17"/>
  <c r="J30" i="17"/>
  <c r="K36" i="17"/>
  <c r="M36" i="17" s="1"/>
  <c r="J77" i="17"/>
  <c r="D18" i="17"/>
  <c r="J26" i="17"/>
  <c r="K30" i="17"/>
  <c r="G102" i="17"/>
  <c r="J102" i="17" s="1"/>
  <c r="K102" i="17" s="1"/>
  <c r="K26" i="17"/>
  <c r="J29" i="17"/>
  <c r="G138" i="22" l="1"/>
  <c r="H8" i="20" s="1"/>
  <c r="G139" i="25"/>
  <c r="H12" i="20" s="1"/>
  <c r="I141" i="25"/>
  <c r="I143" i="25" s="1"/>
  <c r="I38" i="18" s="1"/>
  <c r="G139" i="24"/>
  <c r="H11" i="20" s="1"/>
  <c r="I138" i="23"/>
  <c r="I140" i="23" s="1"/>
  <c r="I142" i="23" s="1"/>
  <c r="I138" i="22"/>
  <c r="I140" i="22" s="1"/>
  <c r="I142" i="22" s="1"/>
  <c r="G38" i="18" s="1"/>
  <c r="G40" i="18" s="1"/>
  <c r="G138" i="23"/>
  <c r="I139" i="24"/>
  <c r="I141" i="24" s="1"/>
  <c r="I143" i="24" s="1"/>
  <c r="J24" i="17"/>
  <c r="J41" i="17"/>
  <c r="J50" i="17"/>
  <c r="L29" i="17"/>
  <c r="J54" i="17"/>
  <c r="G129" i="17"/>
  <c r="I129" i="17" s="1"/>
  <c r="J47" i="17"/>
  <c r="J49" i="17"/>
  <c r="J57" i="17"/>
  <c r="M29" i="17"/>
  <c r="K25" i="17"/>
  <c r="L25" i="17" s="1"/>
  <c r="J23" i="17"/>
  <c r="J40" i="17"/>
  <c r="J44" i="17"/>
  <c r="U122" i="17"/>
  <c r="M27" i="17"/>
  <c r="N27" i="17"/>
  <c r="L27" i="17"/>
  <c r="N31" i="17"/>
  <c r="M31" i="17"/>
  <c r="L31" i="17"/>
  <c r="M23" i="17"/>
  <c r="N23" i="17"/>
  <c r="L23" i="17"/>
  <c r="L26" i="17"/>
  <c r="N26" i="17"/>
  <c r="M26" i="17"/>
  <c r="R116" i="17"/>
  <c r="C124" i="17"/>
  <c r="N24" i="17"/>
  <c r="M24" i="17"/>
  <c r="L24" i="17"/>
  <c r="L30" i="17"/>
  <c r="N30" i="17"/>
  <c r="M30" i="17"/>
  <c r="N28" i="17"/>
  <c r="M28" i="17"/>
  <c r="L28" i="17"/>
  <c r="H10" i="20" l="1"/>
  <c r="I10" i="20" s="1"/>
  <c r="D142" i="25"/>
  <c r="D141" i="22"/>
  <c r="H143" i="25"/>
  <c r="H139" i="25"/>
  <c r="J12" i="20"/>
  <c r="K12" i="20" s="1"/>
  <c r="H141" i="25"/>
  <c r="I40" i="18"/>
  <c r="D142" i="24"/>
  <c r="H143" i="24"/>
  <c r="K9" i="20"/>
  <c r="E38" i="18"/>
  <c r="E40" i="18" s="1"/>
  <c r="H138" i="22"/>
  <c r="J82" i="17"/>
  <c r="G85" i="17" s="1"/>
  <c r="J85" i="17" s="1"/>
  <c r="U120" i="17" s="1"/>
  <c r="H140" i="22"/>
  <c r="H142" i="22"/>
  <c r="J10" i="20"/>
  <c r="K10" i="20" s="1"/>
  <c r="J8" i="20"/>
  <c r="K8" i="20" s="1"/>
  <c r="D38" i="18"/>
  <c r="D40" i="18" s="1"/>
  <c r="H139" i="24"/>
  <c r="J11" i="20"/>
  <c r="K11" i="20" s="1"/>
  <c r="H38" i="18"/>
  <c r="H40" i="18" s="1"/>
  <c r="H140" i="23"/>
  <c r="D141" i="23"/>
  <c r="H138" i="23"/>
  <c r="H141" i="24"/>
  <c r="H142" i="23"/>
  <c r="I8" i="20"/>
  <c r="I12" i="20"/>
  <c r="I11" i="20"/>
  <c r="M25" i="17"/>
  <c r="M82" i="17" s="1"/>
  <c r="G87" i="17" s="1"/>
  <c r="N25" i="17"/>
  <c r="N82" i="17" s="1"/>
  <c r="G88" i="17" s="1"/>
  <c r="J80" i="17"/>
  <c r="H91" i="17"/>
  <c r="J91" i="17" s="1"/>
  <c r="L82" i="17"/>
  <c r="G86" i="17" s="1"/>
  <c r="L9" i="20" l="1"/>
  <c r="I9" i="20"/>
  <c r="L12" i="20"/>
  <c r="L8" i="20"/>
  <c r="H89" i="17"/>
  <c r="J89" i="17" s="1"/>
  <c r="F128" i="17" s="1"/>
  <c r="G128" i="17" s="1"/>
  <c r="I128" i="17" s="1"/>
  <c r="D123" i="17"/>
  <c r="F123" i="17" s="1"/>
  <c r="G123" i="17" s="1"/>
  <c r="I123" i="17" s="1"/>
  <c r="D124" i="17"/>
  <c r="D17" i="20" s="1"/>
  <c r="D20" i="20"/>
  <c r="L10" i="20"/>
  <c r="L11" i="20"/>
  <c r="J87" i="17"/>
  <c r="S117" i="17"/>
  <c r="U117" i="17" s="1"/>
  <c r="J88" i="17"/>
  <c r="J86" i="17"/>
  <c r="S116" i="17"/>
  <c r="D19" i="20" l="1"/>
  <c r="J110" i="17"/>
  <c r="U116" i="17"/>
  <c r="D127" i="17"/>
  <c r="F127" i="17" s="1"/>
  <c r="D126" i="17"/>
  <c r="F126" i="17" s="1"/>
  <c r="F124" i="17"/>
  <c r="G124" i="17" s="1"/>
  <c r="G126" i="17" l="1"/>
  <c r="I126" i="17" s="1"/>
  <c r="U118" i="17"/>
  <c r="U125" i="17" s="1"/>
  <c r="J112" i="17"/>
  <c r="J114" i="17" s="1"/>
  <c r="J116" i="17" s="1"/>
  <c r="K110" i="17"/>
  <c r="I124" i="17" l="1"/>
  <c r="I138" i="17" s="1"/>
  <c r="G138" i="17"/>
  <c r="D141" i="17" l="1"/>
  <c r="H7" i="20"/>
  <c r="I140" i="17"/>
  <c r="I142" i="17" s="1"/>
  <c r="C38" i="18" l="1"/>
  <c r="C40" i="18" s="1"/>
  <c r="J40" i="18" s="1"/>
  <c r="J7" i="20"/>
  <c r="K7" i="20" s="1"/>
  <c r="K13" i="20" s="1"/>
  <c r="I7" i="20"/>
  <c r="I13" i="20" s="1"/>
  <c r="H142" i="17"/>
  <c r="H138" i="17"/>
  <c r="H140" i="17"/>
  <c r="I20" i="20" l="1"/>
  <c r="O13" i="20"/>
  <c r="K20" i="20"/>
  <c r="L20" i="20" s="1"/>
  <c r="K15" i="20"/>
  <c r="L15" i="20" s="1"/>
  <c r="L13" i="20"/>
  <c r="L7" i="20"/>
</calcChain>
</file>

<file path=xl/sharedStrings.xml><?xml version="1.0" encoding="utf-8"?>
<sst xmlns="http://schemas.openxmlformats.org/spreadsheetml/2006/main" count="2069" uniqueCount="346">
  <si>
    <t>THK</t>
  </si>
  <si>
    <t>PART</t>
  </si>
  <si>
    <t>FRP AREA</t>
  </si>
  <si>
    <t>FRP</t>
  </si>
  <si>
    <t>PP</t>
  </si>
  <si>
    <t>CONE ANGLE</t>
  </si>
  <si>
    <t>PIPE SIZE</t>
  </si>
  <si>
    <t>NOZZLE</t>
  </si>
  <si>
    <t>AREA</t>
  </si>
  <si>
    <t>PIPE LENGTH</t>
  </si>
  <si>
    <t>FLG. OD</t>
  </si>
  <si>
    <t>Qty</t>
  </si>
  <si>
    <t>N125</t>
  </si>
  <si>
    <t>N150</t>
  </si>
  <si>
    <t>N200</t>
  </si>
  <si>
    <t>N250</t>
  </si>
  <si>
    <t>N300</t>
  </si>
  <si>
    <t>N350</t>
  </si>
  <si>
    <t>N400</t>
  </si>
  <si>
    <t>N450</t>
  </si>
  <si>
    <t>N500</t>
  </si>
  <si>
    <t>N600</t>
  </si>
  <si>
    <t>N015</t>
  </si>
  <si>
    <t>N020</t>
  </si>
  <si>
    <t>N040</t>
  </si>
  <si>
    <t>N050</t>
  </si>
  <si>
    <t>N065</t>
  </si>
  <si>
    <t>N080</t>
  </si>
  <si>
    <t>N025</t>
  </si>
  <si>
    <t>N001</t>
  </si>
  <si>
    <t>N100</t>
  </si>
  <si>
    <t>THICKNESS</t>
  </si>
  <si>
    <t>B001</t>
  </si>
  <si>
    <t>B015</t>
  </si>
  <si>
    <t>B020</t>
  </si>
  <si>
    <t>B025</t>
  </si>
  <si>
    <t>B040</t>
  </si>
  <si>
    <t>B050</t>
  </si>
  <si>
    <t>B065</t>
  </si>
  <si>
    <t>B080</t>
  </si>
  <si>
    <t>B100</t>
  </si>
  <si>
    <t>B125</t>
  </si>
  <si>
    <t>B150</t>
  </si>
  <si>
    <t>B200</t>
  </si>
  <si>
    <t>B250</t>
  </si>
  <si>
    <t>B300</t>
  </si>
  <si>
    <t>B350</t>
  </si>
  <si>
    <t>B400</t>
  </si>
  <si>
    <t>B450</t>
  </si>
  <si>
    <t>B500</t>
  </si>
  <si>
    <t>B600</t>
  </si>
  <si>
    <t>B.FLANGE</t>
  </si>
  <si>
    <t>FLG. THICKNESS</t>
  </si>
  <si>
    <t>PIPE THICKNESS</t>
  </si>
  <si>
    <t>FLG. AREA</t>
  </si>
  <si>
    <t>PIPE AREA</t>
  </si>
  <si>
    <t xml:space="preserve">PP </t>
  </si>
  <si>
    <t>TOTAL</t>
  </si>
  <si>
    <t>FRP (Sq. M- mm)</t>
  </si>
  <si>
    <t>PP (Sq.M)</t>
  </si>
  <si>
    <t>SHELL</t>
  </si>
  <si>
    <t>DATE</t>
  </si>
  <si>
    <t>Descreption</t>
  </si>
  <si>
    <t>Rate</t>
  </si>
  <si>
    <t>Cost</t>
  </si>
  <si>
    <t>=</t>
  </si>
  <si>
    <t>Total Cost</t>
  </si>
  <si>
    <t>Name Plate</t>
  </si>
  <si>
    <t>Nozzle</t>
  </si>
  <si>
    <t>Numbering Charges</t>
  </si>
  <si>
    <t>TRANSPORT</t>
  </si>
  <si>
    <t>MISC</t>
  </si>
  <si>
    <t>BG</t>
  </si>
  <si>
    <t>TYPE</t>
  </si>
  <si>
    <t>CLIENT</t>
  </si>
  <si>
    <t>D.E.D</t>
  </si>
  <si>
    <t>TOP COVER</t>
  </si>
  <si>
    <t>Sq.M</t>
  </si>
  <si>
    <t>Sq.M-mm</t>
  </si>
  <si>
    <t xml:space="preserve">Cost of </t>
  </si>
  <si>
    <t>MFG</t>
  </si>
  <si>
    <t>B/O</t>
  </si>
  <si>
    <t>MS</t>
  </si>
  <si>
    <t>SER</t>
  </si>
  <si>
    <t>MOULD</t>
  </si>
  <si>
    <t>Transport</t>
  </si>
  <si>
    <t>TRANS</t>
  </si>
  <si>
    <t>KG</t>
  </si>
  <si>
    <t>01</t>
  </si>
  <si>
    <t>Anchor Bolts</t>
  </si>
  <si>
    <t>LABOUR</t>
  </si>
  <si>
    <t>CAPACITY</t>
  </si>
  <si>
    <t>KL</t>
  </si>
  <si>
    <t>TITLE</t>
  </si>
  <si>
    <t>DIAMETER</t>
  </si>
  <si>
    <t>HEIGHT</t>
  </si>
  <si>
    <t>B. SHELL HT.</t>
  </si>
  <si>
    <t>B.M. SHELL HT.</t>
  </si>
  <si>
    <t>(in mm)</t>
  </si>
  <si>
    <t>M. SHELL HT.</t>
  </si>
  <si>
    <t>T.M. SHELL HT.</t>
  </si>
  <si>
    <t>T. SHELL HT.</t>
  </si>
  <si>
    <t xml:space="preserve"> THK</t>
  </si>
  <si>
    <t>BOTTOM SHELL</t>
  </si>
  <si>
    <t>BOTT MIDD SHELL</t>
  </si>
  <si>
    <t>MIDDLE SHELL</t>
  </si>
  <si>
    <t>TOP MIDD SHELL</t>
  </si>
  <si>
    <t>TOP SHELL</t>
  </si>
  <si>
    <t>CON TOP</t>
  </si>
  <si>
    <t>FLAT BOTTM</t>
  </si>
  <si>
    <t>BODY FLG</t>
  </si>
  <si>
    <t>R/F - BOTTOM</t>
  </si>
  <si>
    <t>R/F - TOP</t>
  </si>
  <si>
    <t>R/F -LUGS SUPPORT</t>
  </si>
  <si>
    <t>STFFENER @TOP</t>
  </si>
  <si>
    <t>SHEL STIFF</t>
  </si>
  <si>
    <t>SH.MH</t>
  </si>
  <si>
    <t>SR. NO</t>
  </si>
  <si>
    <t xml:space="preserve">Cost of   MM </t>
  </si>
  <si>
    <t>02</t>
  </si>
  <si>
    <t>03</t>
  </si>
  <si>
    <t>04</t>
  </si>
  <si>
    <t>06</t>
  </si>
  <si>
    <t>PP Welding Rod</t>
  </si>
  <si>
    <t>07</t>
  </si>
  <si>
    <t>GOOSE NECK</t>
  </si>
  <si>
    <t>08</t>
  </si>
  <si>
    <t>09</t>
  </si>
  <si>
    <t>10</t>
  </si>
  <si>
    <t>Gasket-_EPDM</t>
  </si>
  <si>
    <t>11</t>
  </si>
  <si>
    <r>
      <t xml:space="preserve">10% Nut-Bolt </t>
    </r>
    <r>
      <rPr>
        <sz val="10"/>
        <color theme="1"/>
        <rFont val="Swis721 LtCn BT"/>
        <family val="2"/>
      </rPr>
      <t>(MIN 4 NOS)</t>
    </r>
  </si>
  <si>
    <t>12</t>
  </si>
  <si>
    <t>2 Set Gasket</t>
  </si>
  <si>
    <t>NEOPRENE RUBBER</t>
  </si>
  <si>
    <t>13</t>
  </si>
  <si>
    <t>LEVEL INDICATOR-FLOAT &amp; BOARD TYPE</t>
  </si>
  <si>
    <t>14</t>
  </si>
  <si>
    <t>15</t>
  </si>
  <si>
    <t>Holdown Lugs</t>
  </si>
  <si>
    <t>Lifting Lugs</t>
  </si>
  <si>
    <t>16</t>
  </si>
  <si>
    <t xml:space="preserve">MS LUG SUPPORT </t>
  </si>
  <si>
    <t>17</t>
  </si>
  <si>
    <t>Ladder &amp; Railing</t>
  </si>
  <si>
    <t>18</t>
  </si>
  <si>
    <t>19</t>
  </si>
  <si>
    <t>Mould</t>
  </si>
  <si>
    <t>20</t>
  </si>
  <si>
    <t>21</t>
  </si>
  <si>
    <t>WOODEN SADDLES</t>
  </si>
  <si>
    <t>22</t>
  </si>
  <si>
    <t>23</t>
  </si>
  <si>
    <t>24</t>
  </si>
  <si>
    <t>QTY</t>
  </si>
  <si>
    <t>RATE</t>
  </si>
  <si>
    <t>COST</t>
  </si>
  <si>
    <t>GLASS</t>
  </si>
  <si>
    <t>CONS</t>
  </si>
  <si>
    <t>FACT</t>
  </si>
  <si>
    <t>SALE</t>
  </si>
  <si>
    <t>3 mm PP</t>
  </si>
  <si>
    <t>LIFTING LUGS</t>
  </si>
  <si>
    <t>DIS</t>
  </si>
  <si>
    <t>TOTAL COST</t>
  </si>
  <si>
    <t>MATRIAL SUITABLITY TO BE CHECK AT YOUR END</t>
  </si>
  <si>
    <t>NOTE</t>
  </si>
  <si>
    <t>TOTAL (Rs.)</t>
  </si>
  <si>
    <t>UNIT RATE (Rs.)</t>
  </si>
  <si>
    <t>QTY (NOS)</t>
  </si>
  <si>
    <t xml:space="preserve">EXCLUSION </t>
  </si>
  <si>
    <t>COMMISSIONING SPARES</t>
  </si>
  <si>
    <t>SUPPORT</t>
  </si>
  <si>
    <t>ACCESSORIES</t>
  </si>
  <si>
    <t>-</t>
  </si>
  <si>
    <t>INTERNALS</t>
  </si>
  <si>
    <t>ASME B 16.5 150 #</t>
  </si>
  <si>
    <t>FLANGE STD.</t>
  </si>
  <si>
    <t>AS PER YOUR SPECIFICATION SHEET</t>
  </si>
  <si>
    <t xml:space="preserve">NOZZLES </t>
  </si>
  <si>
    <t>NUT BOLTS</t>
  </si>
  <si>
    <t xml:space="preserve">GASKET </t>
  </si>
  <si>
    <t>M.O.C</t>
  </si>
  <si>
    <t>DESIGN CODE</t>
  </si>
  <si>
    <t>HYDRO TEST</t>
  </si>
  <si>
    <t>OPERATING TEMP</t>
  </si>
  <si>
    <t>DESIGN TEMP</t>
  </si>
  <si>
    <t>PROCESS FLUID</t>
  </si>
  <si>
    <t>SIZE (mm)</t>
  </si>
  <si>
    <t>DOC.NO.</t>
  </si>
  <si>
    <t>TAG NO.</t>
  </si>
  <si>
    <t>DESIGN PRESSURE</t>
  </si>
  <si>
    <t>BS 4994</t>
  </si>
  <si>
    <t>VERTICAL CYLINDRICAL WITH FLANGE BOLTED WITH COVER AT TOP AND FLAT BOTTOM</t>
  </si>
  <si>
    <t>BY CLIENT</t>
  </si>
  <si>
    <t>RATE (W/O LABOUR)</t>
  </si>
  <si>
    <t>EXTERNAL PIPE_40 mm, 2250 mm L</t>
  </si>
  <si>
    <t>INDIAN</t>
  </si>
  <si>
    <t xml:space="preserve">As a minimum 200 % gaskets and 10 % 
(2 sets min.) Studs and nuts for all blinded nozzles and Manhole </t>
  </si>
  <si>
    <t>HAND LAY UP</t>
  </si>
  <si>
    <t>05</t>
  </si>
  <si>
    <t>ISOPHTHALIC</t>
  </si>
  <si>
    <t>DERAKANE 470.300</t>
  </si>
  <si>
    <t>RESIN MAKE</t>
  </si>
  <si>
    <t>CREST -CPOL 331</t>
  </si>
  <si>
    <t>ASHLAND</t>
  </si>
  <si>
    <t>1 KG RESIN</t>
  </si>
  <si>
    <t>0.5 KG GLASS</t>
  </si>
  <si>
    <t>CONSU+ HARD + PIG</t>
  </si>
  <si>
    <t>5 % OF RM</t>
  </si>
  <si>
    <t>RATE PER M2 mm</t>
  </si>
  <si>
    <t>NIL, SELF SUPPORTED (CLIENT TO PROVIDE FINE CEMENT SLURRY OVER THE CIVIL FOUNDATION AT THE TIME OF INSTALLATION OF TANK)</t>
  </si>
  <si>
    <t>OP.PRESSURE
_Kg/cm2g</t>
  </si>
  <si>
    <t>SR.
NO.</t>
  </si>
  <si>
    <t>IITEM</t>
  </si>
  <si>
    <t>CAP.</t>
  </si>
  <si>
    <t>SIZE</t>
  </si>
  <si>
    <t>MOC</t>
  </si>
  <si>
    <r>
      <t xml:space="preserve">UNIT COST
</t>
    </r>
    <r>
      <rPr>
        <b/>
        <sz val="11"/>
        <color theme="1"/>
        <rFont val="Calibri"/>
        <family val="2"/>
        <scheme val="minor"/>
      </rPr>
      <t>W/O LABOUR</t>
    </r>
  </si>
  <si>
    <r>
      <t xml:space="preserve">TOTAL COST
</t>
    </r>
    <r>
      <rPr>
        <b/>
        <sz val="11"/>
        <color theme="1"/>
        <rFont val="Calibri"/>
        <family val="2"/>
        <scheme val="minor"/>
      </rPr>
      <t>W/O LABOUR</t>
    </r>
  </si>
  <si>
    <t>UNIT
SALE</t>
  </si>
  <si>
    <t>TOTAL
SALE</t>
  </si>
  <si>
    <t>FACT.</t>
  </si>
  <si>
    <t>IF 10 % DISC GIVEN THEN</t>
  </si>
  <si>
    <t>DESCRIPTION</t>
  </si>
  <si>
    <t>UOM</t>
  </si>
  <si>
    <t>RATE (Rs.)</t>
  </si>
  <si>
    <t>TOTAL 
TRANSPORT COST</t>
  </si>
  <si>
    <t>COST WITHOUT
TRANSPORT</t>
  </si>
  <si>
    <t>SALE WITHOUT
TRANSPORT</t>
  </si>
  <si>
    <t>SQM</t>
  </si>
  <si>
    <t>VERTICAL CYLINDRICAL WITH FLAT TOP WITH COVER AND FLAT BOTTOM</t>
  </si>
  <si>
    <t>M/s PARAMOUNT</t>
  </si>
  <si>
    <t>21-T-005 A/B</t>
  </si>
  <si>
    <t>ACID MEASURING TANK (SAC)</t>
  </si>
  <si>
    <t>ACTUAL
THK CONSIDERD</t>
  </si>
  <si>
    <t>1.35 KL</t>
  </si>
  <si>
    <t>ACID MEASURING TANK (MB)</t>
  </si>
  <si>
    <t>FUME ABSORBER (MB)</t>
  </si>
  <si>
    <t>FUME ABSORBER (SAC)</t>
  </si>
  <si>
    <t>ALKALI MEASURING TANK (SBA)</t>
  </si>
  <si>
    <t>0.021 KL</t>
  </si>
  <si>
    <t>0.330 KL</t>
  </si>
  <si>
    <t>ALKALI MEASURING / DILUTION TANK (MB)</t>
  </si>
  <si>
    <t>0.942 KL</t>
  </si>
  <si>
    <t>0.340 KL</t>
  </si>
  <si>
    <t>1200 ID X 
1200 LG.</t>
  </si>
  <si>
    <t>300 ID X 300 LG.</t>
  </si>
  <si>
    <t>600 ID X 1200 LG.</t>
  </si>
  <si>
    <t>1000 ID X 
1200 LG.</t>
  </si>
  <si>
    <t>NOT GIVEN
VENDOR TO CONFIRM</t>
  </si>
  <si>
    <t>THK BY BS 4994</t>
  </si>
  <si>
    <t>THK BY MINIMUM WALL THK
(MALLINSON)</t>
  </si>
  <si>
    <t>3 mm CB 
+ 
5 mm FRP</t>
  </si>
  <si>
    <t>SHELL              :
FLAT                :
FLG &amp; COVER :</t>
  </si>
  <si>
    <t>DATE : 30.11.2021</t>
  </si>
  <si>
    <t>SUMMARY_THICKNESS</t>
  </si>
  <si>
    <t>THK BY 
CLIENT</t>
  </si>
  <si>
    <t>3 mm
PP</t>
  </si>
  <si>
    <t>VADODARA</t>
  </si>
  <si>
    <t>NUTBOLT</t>
  </si>
  <si>
    <t>GASKETS</t>
  </si>
  <si>
    <t>NUMBERING</t>
  </si>
  <si>
    <t>SADDLES</t>
  </si>
  <si>
    <t>PP WELD ROD</t>
  </si>
  <si>
    <t>FUME ABSORBER FOR (SAC)</t>
  </si>
  <si>
    <t>21-FB-02 B</t>
  </si>
  <si>
    <t>Bottom supports</t>
  </si>
  <si>
    <t>NAME PLT.</t>
  </si>
  <si>
    <t>21-T-006 A/B</t>
  </si>
  <si>
    <t>Gasket</t>
  </si>
  <si>
    <t>Nut-Bolt- SS 304</t>
  </si>
  <si>
    <t>Internal Nozzle N2 with addn. Labour</t>
  </si>
  <si>
    <t>02 &amp; 04</t>
  </si>
  <si>
    <t>21-T-007 A/B</t>
  </si>
  <si>
    <t>CLIENT              :     PARAMOUNT LTD., VADODARA</t>
  </si>
  <si>
    <t>SUMMARY</t>
  </si>
  <si>
    <t>03 &amp; 06</t>
  </si>
  <si>
    <t>1200 mm ID X 1200 mm VERTICAL SHELL HT.</t>
  </si>
  <si>
    <t>3 mm PP +
FRP
(VINYL)</t>
  </si>
  <si>
    <t>FRP
(VINYL)</t>
  </si>
  <si>
    <t>FRP (VINYL)</t>
  </si>
  <si>
    <t>DENSITY (KG/M3)</t>
  </si>
  <si>
    <t>ATM + LIQUID UPTO OVERFLOW LEVEL</t>
  </si>
  <si>
    <t>ATM + FULL OF LIQUID</t>
  </si>
  <si>
    <t>FULL OF WATER</t>
  </si>
  <si>
    <t>65 DEG C</t>
  </si>
  <si>
    <t>AMBIENT</t>
  </si>
  <si>
    <t>EPDM 3 mm THK</t>
  </si>
  <si>
    <t>SS 316 / IS1367 CI 4.6/4.0</t>
  </si>
  <si>
    <t>BOTTOM FLAT</t>
  </si>
  <si>
    <t>6 mm FRP</t>
  </si>
  <si>
    <t>10 mm FRP</t>
  </si>
  <si>
    <t>FUME ABSORBER FOR ACID MEASURING TANK (SAC)</t>
  </si>
  <si>
    <t>300 mm ID X 300 mm VERTICAL SHELL HT.</t>
  </si>
  <si>
    <t>ATMOSPHERIC</t>
  </si>
  <si>
    <t>DESIGN VACCUM 
PRESSURE</t>
  </si>
  <si>
    <t>600 mm ID X 1200 mm VERTICAL SHELL HT.</t>
  </si>
  <si>
    <t>21-FB-03</t>
  </si>
  <si>
    <t>FUME ABSORBER FOR ACID MEASURING TANK (MB)</t>
  </si>
  <si>
    <t>1000 mm ID X 1000 mm VERTICAL SHELL HT.</t>
  </si>
  <si>
    <t xml:space="preserve"> 30 % CAUSTIC SOLUTION</t>
  </si>
  <si>
    <t>ALKALI MEASURING TANK (MB)</t>
  </si>
  <si>
    <t>1 NO. 40 NB PIPE IN FRP
1 NO. 25 NB WATER INLET WITH SPRY PORTION AS PER DRAWING</t>
  </si>
  <si>
    <t>FRP PIPE SUPPORT AS PER SHOWN IN DRAWING, CIVIL FOUNDATION BY CLIENT</t>
  </si>
  <si>
    <t xml:space="preserve"> 30 % HCl</t>
  </si>
  <si>
    <t>PROJECT          :     ADDN. PROCESS UNITS, URAN (JOB NO : PL-637)</t>
  </si>
  <si>
    <t>21-T-008 A/B</t>
  </si>
  <si>
    <t>DATE : 01.11.2021</t>
  </si>
  <si>
    <t>FLUID</t>
  </si>
  <si>
    <t>30 % HCL</t>
  </si>
  <si>
    <t>30 % NAOH</t>
  </si>
  <si>
    <t>URAN</t>
  </si>
  <si>
    <t>FRP (BISPHENOL)</t>
  </si>
  <si>
    <t>8 mm FRP</t>
  </si>
  <si>
    <t>18 mm FRP</t>
  </si>
  <si>
    <t>20 mm FRP</t>
  </si>
  <si>
    <t>15 mm FRP</t>
  </si>
  <si>
    <r>
      <t xml:space="preserve">1 NO.  NAME PLATE, 
1 SET OF LIFTING LUGS,
1 SET OF HOLD DOWN LUGS,
1 No 12 THK.SUITABLE NATURAL RUBBER PADDING AT BOTTOM
</t>
    </r>
    <r>
      <rPr>
        <sz val="11"/>
        <color rgb="FFFF0000"/>
        <rFont val="Swis721 Cn BT"/>
      </rPr>
      <t>1 SET OF ANCHOR BOLTS</t>
    </r>
  </si>
  <si>
    <t>BIS</t>
  </si>
  <si>
    <t>R1</t>
  </si>
  <si>
    <t>ANCHOR</t>
  </si>
  <si>
    <r>
      <t xml:space="preserve">1 NO.  NAME PLATE, 
1 SET OF LIFTING LUGS,
1 SET OF HOLD DOWN LUGS,
1 NO. 2 INCH BOTTOM PIPE SUPPORT WITH GUSSETS &amp; BOTTOM SQUARE PLATE IN FRP
</t>
    </r>
    <r>
      <rPr>
        <sz val="11"/>
        <color rgb="FFFF0000"/>
        <rFont val="Swis721 Cn BT"/>
      </rPr>
      <t>1 SET OF ANCHOR BOLTS</t>
    </r>
  </si>
  <si>
    <t>M.O.C- FRP (BISPHENOL)</t>
  </si>
  <si>
    <t>20 mm  FRP</t>
  </si>
  <si>
    <t>15 mm  FRP</t>
  </si>
  <si>
    <t>18 mm  FRP</t>
  </si>
  <si>
    <t>BAFFLES 100 X 1200 X 10 mm THK</t>
  </si>
  <si>
    <r>
      <t xml:space="preserve">1 NO.  NAME PLATE, 
1 SET OF LIFTING LUGS,
1 SET OF HOLD DOWN LUGS,
1 No 12 THK.SUITABLE NATURAL RUBBER PADDING AT BOTTOM
</t>
    </r>
    <r>
      <rPr>
        <sz val="11"/>
        <color rgb="FFFF0000"/>
        <rFont val="Swis721 Cn BT"/>
      </rPr>
      <t>1 SET OF ANCHOR BOLTS IN MS
4 NO'S BAFFLES IN FRP</t>
    </r>
  </si>
  <si>
    <r>
      <t xml:space="preserve">1 NO.  NAME PLATE, 
1 SET OF LIFTING LUGS,
1 SET OF HOLD DOWN LUGS,
1 No 12 THK.SUITABLE NATURAL RUBBER PADDING AT BOTTOM
</t>
    </r>
    <r>
      <rPr>
        <sz val="11"/>
        <color rgb="FFFF0000"/>
        <rFont val="Swis721 Cn BT"/>
      </rPr>
      <t>1 SET OF ANCHOR BOLTS
4 NO'S BAFFLES IN FRP</t>
    </r>
  </si>
  <si>
    <t>MOC BY PARAMOUNT &amp; THK AS PER JRF</t>
  </si>
  <si>
    <t>NOZZLE AGITATOR- 300x300x150 L</t>
  </si>
  <si>
    <t>F.O.R. ONGC,
URAN</t>
  </si>
  <si>
    <t>ANNEXURE       :     FRP TANKS &amp; ABSORBER DTD. R1 21.12.2021</t>
  </si>
  <si>
    <t>OFFER NO.       :    OFFER/JRF/PL/21-22/O-630 R1  DTD. R1 21.12.2021</t>
  </si>
  <si>
    <t>R0</t>
  </si>
  <si>
    <t>ANCHOR B.</t>
  </si>
  <si>
    <t>ONGC-637-MDS-501-1  REV '1'</t>
  </si>
  <si>
    <t>ONGC-637-MDS-501-2 REV '1'</t>
  </si>
  <si>
    <t>ONGC-637-MDS-501-3 REV '1'</t>
  </si>
  <si>
    <t>ONGC-637-MDS-501-4 REV '1'</t>
  </si>
  <si>
    <t>ONGC-637-MDS-501-5 REV '1'</t>
  </si>
  <si>
    <t>ONGC-637-MDS-501-6 REV '1'</t>
  </si>
  <si>
    <t>LI/LT/TI /TT/PI/PTT, LADDER &amp; RAILING, THERMOWELL , EARTHING BOSS, GRAPHITE ROD ASSEMBLY, SUPPORT STURCURE &amp; ITS ACCESSORIES, ANY TYPE OF VALVES &amp; INSTRUMENTS, ANY TYPE OF INSULATION, ANY OTHER ITEM OR SERVICE NOT SPECIALLY MENTIONED ABOVE</t>
  </si>
  <si>
    <t>OFFERED _ 21.12.2021</t>
  </si>
  <si>
    <t>DISCOUNTED 11 % _ 24.12.2021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</si>
</sst>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0.0000"/>
    <numFmt numFmtId="166" formatCode="0.000"/>
    <numFmt numFmtId="167" formatCode="[$-409]d\-mmm\-yy;@"/>
    <numFmt numFmtId="168" formatCode="0.0"/>
    <numFmt numFmtId="169" formatCode="&quot;Rs.&quot;\ #,##0"/>
    <numFmt numFmtId="170" formatCode="_ * #,##0_ ;_ * \-#,##0_ ;_ * &quot;-&quot;??_ ;_ @_ "/>
    <numFmt numFmtId="171" formatCode="_(* #,##0_);_(* \(#,##0\);_(* &quot;-&quot;??_);_(@_)"/>
    <numFmt numFmtId="172" formatCode="_(* #,##0.00_);_(* \(#,##0.00\);_(* &quot;-&quot;??_);_(@_)"/>
  </numFmts>
  <fonts count="5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Swis721 LtCn BT"/>
      <family val="2"/>
    </font>
    <font>
      <b/>
      <sz val="12"/>
      <color theme="1"/>
      <name val="Swis721 LtCn BT"/>
      <family val="2"/>
    </font>
    <font>
      <sz val="12"/>
      <color rgb="FF00B050"/>
      <name val="Swis721 LtCn BT"/>
      <family val="2"/>
    </font>
    <font>
      <b/>
      <sz val="14"/>
      <color theme="1"/>
      <name val="Swis721 LtCn BT"/>
      <family val="2"/>
    </font>
    <font>
      <sz val="11"/>
      <color theme="1"/>
      <name val="Swis721 Cn BT"/>
      <family val="2"/>
    </font>
    <font>
      <b/>
      <sz val="11"/>
      <name val="Swis721 Cn BT"/>
      <family val="2"/>
    </font>
    <font>
      <b/>
      <sz val="11"/>
      <color theme="1"/>
      <name val="Swis721 Cn BT"/>
      <family val="2"/>
    </font>
    <font>
      <sz val="11"/>
      <name val="Swis721 Cn BT"/>
      <family val="2"/>
    </font>
    <font>
      <sz val="11"/>
      <color theme="1"/>
      <name val="Swis721 LtCn BT"/>
      <family val="2"/>
    </font>
    <font>
      <b/>
      <sz val="11"/>
      <color rgb="FF7030A0"/>
      <name val="Swis721 LtCn BT"/>
      <family val="2"/>
    </font>
    <font>
      <b/>
      <sz val="11"/>
      <color theme="1"/>
      <name val="Swis721 LtCn BT"/>
      <family val="2"/>
    </font>
    <font>
      <b/>
      <sz val="28"/>
      <color theme="1"/>
      <name val="Swis721 LtCn BT"/>
      <family val="2"/>
    </font>
    <font>
      <b/>
      <sz val="22"/>
      <color theme="1"/>
      <name val="Swis721 LtCn BT"/>
      <family val="2"/>
    </font>
    <font>
      <b/>
      <sz val="48"/>
      <color theme="1"/>
      <name val="Swis721 LtCn BT"/>
      <family val="2"/>
    </font>
    <font>
      <sz val="9"/>
      <color theme="1"/>
      <name val="Swis721 LtCn BT"/>
      <family val="2"/>
    </font>
    <font>
      <b/>
      <sz val="9"/>
      <color theme="1"/>
      <name val="Swis721 LtCn BT"/>
      <family val="2"/>
    </font>
    <font>
      <sz val="9"/>
      <color rgb="FFFF0000"/>
      <name val="Swis721 LtCn BT"/>
      <family val="2"/>
    </font>
    <font>
      <sz val="11"/>
      <color rgb="FFFF0000"/>
      <name val="Swis721 LtCn BT"/>
      <family val="2"/>
    </font>
    <font>
      <b/>
      <sz val="11"/>
      <color rgb="FFFF0000"/>
      <name val="Swis721 LtCn BT"/>
      <family val="2"/>
    </font>
    <font>
      <sz val="11"/>
      <name val="Swis721 LtCn BT"/>
      <family val="2"/>
    </font>
    <font>
      <sz val="10"/>
      <color theme="1"/>
      <name val="Swis721 LtCn BT"/>
      <family val="2"/>
    </font>
    <font>
      <b/>
      <sz val="10"/>
      <color theme="1"/>
      <name val="Swis721 LtCn BT"/>
      <family val="2"/>
    </font>
    <font>
      <b/>
      <sz val="10"/>
      <color rgb="FFFF0000"/>
      <name val="Swis721 LtCn BT"/>
      <family val="2"/>
    </font>
    <font>
      <sz val="14"/>
      <color theme="1"/>
      <name val="Swis721 LtCn BT"/>
      <family val="2"/>
    </font>
    <font>
      <sz val="8"/>
      <color theme="1"/>
      <name val="Swis721 LtCn BT"/>
      <family val="2"/>
    </font>
    <font>
      <b/>
      <sz val="14"/>
      <name val="Swis721 Cn BT"/>
      <family val="2"/>
    </font>
    <font>
      <sz val="10"/>
      <name val="Arial"/>
      <family val="2"/>
    </font>
    <font>
      <b/>
      <sz val="11"/>
      <color theme="1"/>
      <name val="Swis721 LtCn BT"/>
    </font>
    <font>
      <sz val="11"/>
      <color theme="1"/>
      <name val="Swis721 LtCn BT"/>
    </font>
    <font>
      <sz val="14"/>
      <color theme="1"/>
      <name val="Swis721 LtCn BT"/>
    </font>
    <font>
      <sz val="16"/>
      <color theme="1"/>
      <name val="Swis721 LtCn BT"/>
      <family val="2"/>
    </font>
    <font>
      <sz val="16"/>
      <color theme="1"/>
      <name val="Swis721 LtCn BT"/>
    </font>
    <font>
      <b/>
      <sz val="11"/>
      <color theme="1"/>
      <name val="Calibri"/>
      <family val="2"/>
      <scheme val="minor"/>
    </font>
    <font>
      <b/>
      <sz val="22"/>
      <name val="Swis721 Cn BT"/>
      <family val="2"/>
    </font>
    <font>
      <sz val="8"/>
      <color theme="1"/>
      <name val="Calibri"/>
      <family val="2"/>
      <scheme val="minor"/>
    </font>
    <font>
      <sz val="10"/>
      <name val="Swis721 Cn BT"/>
      <family val="2"/>
    </font>
    <font>
      <b/>
      <sz val="10"/>
      <name val="Swis721 Cn BT"/>
      <family val="2"/>
    </font>
    <font>
      <sz val="10"/>
      <color theme="1"/>
      <name val="Swis721 Cn BT"/>
      <family val="2"/>
    </font>
    <font>
      <b/>
      <sz val="11"/>
      <color rgb="FFFF0000"/>
      <name val="Swis721 Cn BT"/>
      <family val="2"/>
    </font>
    <font>
      <sz val="11"/>
      <color rgb="FFFF0000"/>
      <name val="Swis721 Cn BT"/>
      <family val="2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20"/>
      <color theme="1"/>
      <name val="Swis721 LtCn BT"/>
      <family val="2"/>
    </font>
    <font>
      <b/>
      <sz val="9"/>
      <name val="Swis721 Cn BT"/>
      <family val="2"/>
    </font>
    <font>
      <b/>
      <sz val="11"/>
      <color theme="1"/>
      <name val="Swis721 Cn BT"/>
    </font>
    <font>
      <b/>
      <sz val="12"/>
      <color theme="1"/>
      <name val="Swis721 Cn BT"/>
    </font>
    <font>
      <sz val="11"/>
      <color rgb="FFFF0000"/>
      <name val="Swis721 Cn BT"/>
    </font>
    <font>
      <b/>
      <sz val="11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0"/>
      <color rgb="FFFF0000"/>
      <name val="Swis721 LtCn BT"/>
    </font>
    <font>
      <sz val="10"/>
      <color rgb="FFFF0000"/>
      <name val="Swis721 LtCn BT"/>
      <family val="2"/>
    </font>
    <font>
      <b/>
      <sz val="22"/>
      <color rgb="FFFF0000"/>
      <name val="Swis721 LtCn BT"/>
      <family val="2"/>
    </font>
    <font>
      <sz val="16"/>
      <name val="Swis721 LtCn BT"/>
      <family val="2"/>
    </font>
    <font>
      <b/>
      <sz val="18"/>
      <color rgb="FFFF0000"/>
      <name val="Swis721 LtCn BT"/>
    </font>
  </fonts>
  <fills count="2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gradientFill type="path" left="0.5" right="0.5" top="0.5" bottom="0.5">
        <stop position="0">
          <color theme="0"/>
        </stop>
        <stop position="1">
          <color rgb="FFFFC000"/>
        </stop>
      </gradientFill>
    </fill>
    <fill>
      <gradientFill type="path" left="0.5" right="0.5" top="0.5" bottom="0.5">
        <stop position="0">
          <color theme="0"/>
        </stop>
        <stop position="1">
          <color rgb="FF69D8FF"/>
        </stop>
      </gradientFill>
    </fill>
    <fill>
      <gradientFill type="path" left="0.5" right="0.5" top="0.5" bottom="0.5">
        <stop position="0">
          <color theme="0"/>
        </stop>
        <stop position="1">
          <color theme="4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7030A0"/>
        </stop>
      </gradientFill>
    </fill>
    <fill>
      <gradientFill degree="180">
        <stop position="0">
          <color theme="0"/>
        </stop>
        <stop position="1">
          <color theme="6" tint="0.59999389629810485"/>
        </stop>
      </gradientFill>
    </fill>
    <fill>
      <gradientFill degree="180">
        <stop position="0">
          <color theme="0"/>
        </stop>
        <stop position="1">
          <color theme="3" tint="0.59999389629810485"/>
        </stop>
      </gradientFill>
    </fill>
    <fill>
      <gradientFill type="path" left="0.5" right="0.5" top="0.5" bottom="0.5">
        <stop position="0">
          <color theme="0"/>
        </stop>
        <stop position="1">
          <color rgb="FFA1F7F9"/>
        </stop>
      </gradientFill>
    </fill>
    <fill>
      <gradientFill type="path" left="0.5" right="0.5" top="0.5" bottom="0.5">
        <stop position="0">
          <color theme="9" tint="0.59999389629810485"/>
        </stop>
        <stop position="1">
          <color rgb="FFFFFFCC"/>
        </stop>
      </gradientFill>
    </fill>
    <fill>
      <gradientFill type="path" left="0.5" right="0.5" top="0.5" bottom="0.5">
        <stop position="0">
          <color theme="0"/>
        </stop>
        <stop position="1">
          <color rgb="FF9FFBDF"/>
        </stop>
      </gradientFill>
    </fill>
    <fill>
      <gradientFill>
        <stop position="0">
          <color theme="0"/>
        </stop>
        <stop position="1">
          <color theme="9" tint="0.59999389629810485"/>
        </stop>
      </gradient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auto="1"/>
      </patternFill>
    </fill>
    <fill>
      <gradientFill type="path" left="0.5" right="0.5" top="0.5" bottom="0.5">
        <stop position="0">
          <color theme="0"/>
        </stop>
        <stop position="1">
          <color rgb="FF92D050"/>
        </stop>
      </gradientFill>
    </fill>
    <fill>
      <patternFill patternType="solid">
        <fgColor theme="7" tint="0.39997558519241921"/>
        <bgColor auto="1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8" fillId="0" borderId="0"/>
    <xf numFmtId="0" fontId="44" fillId="0" borderId="0"/>
  </cellStyleXfs>
  <cellXfs count="504">
    <xf numFmtId="0" fontId="0" fillId="0" borderId="0" xfId="0"/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4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15" fillId="0" borderId="0" xfId="0" quotePrefix="1" applyFont="1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2" fillId="12" borderId="1" xfId="0" applyFont="1" applyFill="1" applyBorder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1" fillId="17" borderId="0" xfId="0" applyFont="1" applyFill="1" applyAlignment="1">
      <alignment horizontal="right" vertical="center"/>
    </xf>
    <xf numFmtId="1" fontId="12" fillId="17" borderId="1" xfId="0" applyNumberFormat="1" applyFont="1" applyFill="1" applyBorder="1" applyAlignment="1">
      <alignment horizontal="center" vertical="center"/>
    </xf>
    <xf numFmtId="2" fontId="12" fillId="13" borderId="1" xfId="0" applyNumberFormat="1" applyFont="1" applyFill="1" applyBorder="1" applyAlignment="1">
      <alignment horizontal="center" vertical="center"/>
    </xf>
    <xf numFmtId="1" fontId="12" fillId="19" borderId="0" xfId="0" applyNumberFormat="1" applyFont="1" applyFill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65" fontId="12" fillId="8" borderId="1" xfId="0" applyNumberFormat="1" applyFont="1" applyFill="1" applyBorder="1" applyAlignment="1">
      <alignment horizontal="right" vertical="center"/>
    </xf>
    <xf numFmtId="2" fontId="12" fillId="8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2" fillId="0" borderId="0" xfId="0" applyFont="1"/>
    <xf numFmtId="0" fontId="16" fillId="0" borderId="0" xfId="0" applyFont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2" fontId="19" fillId="0" borderId="0" xfId="0" applyNumberFormat="1" applyFont="1" applyAlignment="1">
      <alignment horizontal="center" vertical="center"/>
    </xf>
    <xf numFmtId="1" fontId="10" fillId="7" borderId="1" xfId="0" applyNumberFormat="1" applyFont="1" applyFill="1" applyBorder="1" applyAlignment="1">
      <alignment horizontal="center" vertical="center"/>
    </xf>
    <xf numFmtId="1" fontId="10" fillId="6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0" fontId="10" fillId="17" borderId="0" xfId="0" applyFont="1" applyFill="1" applyAlignment="1">
      <alignment horizontal="center" vertical="center"/>
    </xf>
    <xf numFmtId="0" fontId="16" fillId="20" borderId="1" xfId="0" applyFont="1" applyFill="1" applyBorder="1" applyAlignment="1">
      <alignment horizontal="left" vertical="center"/>
    </xf>
    <xf numFmtId="0" fontId="10" fillId="20" borderId="1" xfId="0" applyFont="1" applyFill="1" applyBorder="1" applyAlignment="1">
      <alignment horizontal="center" vertical="center"/>
    </xf>
    <xf numFmtId="2" fontId="10" fillId="17" borderId="1" xfId="3" applyNumberFormat="1" applyFont="1" applyFill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/>
    </xf>
    <xf numFmtId="2" fontId="20" fillId="0" borderId="0" xfId="0" applyNumberFormat="1" applyFont="1" applyAlignment="1">
      <alignment horizontal="center" vertical="center"/>
    </xf>
    <xf numFmtId="165" fontId="10" fillId="8" borderId="1" xfId="0" applyNumberFormat="1" applyFont="1" applyFill="1" applyBorder="1" applyAlignment="1">
      <alignment horizontal="center" vertical="center"/>
    </xf>
    <xf numFmtId="165" fontId="10" fillId="20" borderId="1" xfId="0" applyNumberFormat="1" applyFont="1" applyFill="1" applyBorder="1" applyAlignment="1">
      <alignment horizontal="center" vertical="center"/>
    </xf>
    <xf numFmtId="2" fontId="10" fillId="17" borderId="1" xfId="0" applyNumberFormat="1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left" vertical="center"/>
    </xf>
    <xf numFmtId="2" fontId="10" fillId="4" borderId="1" xfId="0" applyNumberFormat="1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65" fontId="10" fillId="2" borderId="1" xfId="0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left" vertical="center"/>
    </xf>
    <xf numFmtId="166" fontId="21" fillId="4" borderId="1" xfId="0" applyNumberFormat="1" applyFont="1" applyFill="1" applyBorder="1" applyAlignment="1">
      <alignment horizontal="center" vertical="center"/>
    </xf>
    <xf numFmtId="165" fontId="21" fillId="4" borderId="1" xfId="0" applyNumberFormat="1" applyFont="1" applyFill="1" applyBorder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166" fontId="10" fillId="3" borderId="1" xfId="0" applyNumberFormat="1" applyFont="1" applyFill="1" applyBorder="1" applyAlignment="1">
      <alignment horizontal="center" vertical="center"/>
    </xf>
    <xf numFmtId="165" fontId="10" fillId="3" borderId="1" xfId="0" applyNumberFormat="1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left" vertical="center"/>
    </xf>
    <xf numFmtId="165" fontId="19" fillId="0" borderId="1" xfId="0" applyNumberFormat="1" applyFont="1" applyBorder="1" applyAlignment="1">
      <alignment horizontal="center" vertical="center"/>
    </xf>
    <xf numFmtId="165" fontId="21" fillId="0" borderId="1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65" fontId="10" fillId="21" borderId="0" xfId="0" applyNumberFormat="1" applyFont="1" applyFill="1" applyAlignment="1">
      <alignment horizontal="center" vertical="center"/>
    </xf>
    <xf numFmtId="165" fontId="10" fillId="22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3" fillId="0" borderId="1" xfId="0" applyFont="1" applyBorder="1" applyAlignment="1">
      <alignment horizontal="center" vertical="center"/>
    </xf>
    <xf numFmtId="0" fontId="24" fillId="4" borderId="0" xfId="0" applyFont="1" applyFill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68" fontId="2" fillId="5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5" fontId="12" fillId="0" borderId="10" xfId="0" applyNumberFormat="1" applyFont="1" applyBorder="1" applyAlignment="1">
      <alignment vertical="center"/>
    </xf>
    <xf numFmtId="165" fontId="12" fillId="0" borderId="13" xfId="0" applyNumberFormat="1" applyFont="1" applyBorder="1" applyAlignment="1">
      <alignment vertical="center"/>
    </xf>
    <xf numFmtId="165" fontId="12" fillId="0" borderId="11" xfId="0" applyNumberFormat="1" applyFont="1" applyBorder="1" applyAlignment="1">
      <alignment vertic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top"/>
    </xf>
    <xf numFmtId="0" fontId="12" fillId="0" borderId="13" xfId="0" applyFont="1" applyBorder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10" fillId="0" borderId="1" xfId="0" quotePrefix="1" applyFont="1" applyBorder="1" applyAlignment="1">
      <alignment horizontal="center" vertical="center"/>
    </xf>
    <xf numFmtId="166" fontId="10" fillId="0" borderId="10" xfId="0" applyNumberFormat="1" applyFont="1" applyBorder="1" applyAlignment="1">
      <alignment horizontal="left" vertical="center"/>
    </xf>
    <xf numFmtId="166" fontId="10" fillId="0" borderId="13" xfId="0" applyNumberFormat="1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1" fontId="10" fillId="15" borderId="1" xfId="0" applyNumberFormat="1" applyFont="1" applyFill="1" applyBorder="1" applyAlignment="1">
      <alignment horizontal="center" vertical="center"/>
    </xf>
    <xf numFmtId="170" fontId="10" fillId="0" borderId="1" xfId="4" applyNumberFormat="1" applyFont="1" applyBorder="1" applyAlignment="1">
      <alignment horizontal="right" vertical="center"/>
    </xf>
    <xf numFmtId="165" fontId="10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right" vertical="center"/>
    </xf>
    <xf numFmtId="166" fontId="22" fillId="0" borderId="10" xfId="0" applyNumberFormat="1" applyFont="1" applyBorder="1" applyAlignment="1">
      <alignment horizontal="left" vertical="center"/>
    </xf>
    <xf numFmtId="0" fontId="10" fillId="4" borderId="1" xfId="0" quotePrefix="1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left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" fontId="10" fillId="4" borderId="1" xfId="0" applyNumberFormat="1" applyFont="1" applyFill="1" applyBorder="1" applyAlignment="1">
      <alignment horizontal="center" vertical="center"/>
    </xf>
    <xf numFmtId="165" fontId="10" fillId="4" borderId="1" xfId="0" applyNumberFormat="1" applyFont="1" applyFill="1" applyBorder="1" applyAlignment="1">
      <alignment horizontal="center" vertical="center"/>
    </xf>
    <xf numFmtId="170" fontId="10" fillId="4" borderId="1" xfId="4" applyNumberFormat="1" applyFont="1" applyFill="1" applyBorder="1" applyAlignment="1">
      <alignment horizontal="right" vertical="center"/>
    </xf>
    <xf numFmtId="1" fontId="10" fillId="4" borderId="0" xfId="0" applyNumberFormat="1" applyFont="1" applyFill="1" applyAlignment="1">
      <alignment horizontal="right" vertical="center"/>
    </xf>
    <xf numFmtId="1" fontId="21" fillId="4" borderId="1" xfId="0" applyNumberFormat="1" applyFont="1" applyFill="1" applyBorder="1" applyAlignment="1">
      <alignment horizontal="center" vertical="center"/>
    </xf>
    <xf numFmtId="166" fontId="10" fillId="0" borderId="10" xfId="0" applyNumberFormat="1" applyFont="1" applyBorder="1" applyAlignment="1">
      <alignment vertical="center"/>
    </xf>
    <xf numFmtId="166" fontId="10" fillId="0" borderId="13" xfId="0" applyNumberFormat="1" applyFont="1" applyBorder="1" applyAlignment="1">
      <alignment vertical="center"/>
    </xf>
    <xf numFmtId="1" fontId="10" fillId="0" borderId="1" xfId="0" applyNumberFormat="1" applyFont="1" applyBorder="1" applyAlignment="1">
      <alignment horizontal="center" vertical="center"/>
    </xf>
    <xf numFmtId="165" fontId="10" fillId="0" borderId="10" xfId="0" applyNumberFormat="1" applyFont="1" applyBorder="1" applyAlignment="1">
      <alignment vertical="center"/>
    </xf>
    <xf numFmtId="165" fontId="10" fillId="0" borderId="13" xfId="0" applyNumberFormat="1" applyFont="1" applyBorder="1" applyAlignment="1">
      <alignment vertical="center"/>
    </xf>
    <xf numFmtId="165" fontId="10" fillId="4" borderId="10" xfId="0" applyNumberFormat="1" applyFont="1" applyFill="1" applyBorder="1" applyAlignment="1">
      <alignment vertical="center"/>
    </xf>
    <xf numFmtId="165" fontId="10" fillId="4" borderId="13" xfId="0" applyNumberFormat="1" applyFont="1" applyFill="1" applyBorder="1" applyAlignment="1">
      <alignment vertical="center"/>
    </xf>
    <xf numFmtId="0" fontId="21" fillId="0" borderId="0" xfId="0" applyFont="1" applyAlignment="1">
      <alignment horizontal="right"/>
    </xf>
    <xf numFmtId="0" fontId="21" fillId="0" borderId="0" xfId="0" applyFont="1"/>
    <xf numFmtId="165" fontId="10" fillId="4" borderId="10" xfId="0" applyNumberFormat="1" applyFont="1" applyFill="1" applyBorder="1" applyAlignment="1">
      <alignment horizontal="left" vertical="center"/>
    </xf>
    <xf numFmtId="165" fontId="10" fillId="4" borderId="13" xfId="0" applyNumberFormat="1" applyFont="1" applyFill="1" applyBorder="1" applyAlignment="1">
      <alignment horizontal="left" vertical="center"/>
    </xf>
    <xf numFmtId="9" fontId="10" fillId="0" borderId="1" xfId="1" applyFont="1" applyBorder="1" applyAlignment="1">
      <alignment horizontal="center" vertical="center"/>
    </xf>
    <xf numFmtId="165" fontId="10" fillId="0" borderId="7" xfId="0" applyNumberFormat="1" applyFont="1" applyBorder="1" applyAlignment="1">
      <alignment horizontal="left" vertical="center"/>
    </xf>
    <xf numFmtId="1" fontId="10" fillId="0" borderId="12" xfId="0" applyNumberFormat="1" applyFont="1" applyBorder="1" applyAlignment="1">
      <alignment horizontal="center" vertical="center"/>
    </xf>
    <xf numFmtId="165" fontId="12" fillId="0" borderId="10" xfId="0" applyNumberFormat="1" applyFont="1" applyBorder="1" applyAlignment="1">
      <alignment horizontal="center" vertical="center"/>
    </xf>
    <xf numFmtId="169" fontId="23" fillId="0" borderId="1" xfId="4" applyNumberFormat="1" applyFont="1" applyBorder="1" applyAlignment="1">
      <alignment vertical="center"/>
    </xf>
    <xf numFmtId="1" fontId="12" fillId="16" borderId="0" xfId="0" applyNumberFormat="1" applyFont="1" applyFill="1" applyAlignment="1">
      <alignment horizontal="center" vertical="center"/>
    </xf>
    <xf numFmtId="165" fontId="12" fillId="0" borderId="0" xfId="0" applyNumberFormat="1" applyFont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0" fontId="23" fillId="0" borderId="1" xfId="4" applyNumberFormat="1" applyFont="1" applyBorder="1" applyAlignment="1">
      <alignment vertical="center"/>
    </xf>
    <xf numFmtId="165" fontId="10" fillId="0" borderId="0" xfId="0" applyNumberFormat="1" applyFont="1" applyAlignment="1">
      <alignment horizontal="left" vertical="center"/>
    </xf>
    <xf numFmtId="1" fontId="12" fillId="0" borderId="1" xfId="0" applyNumberFormat="1" applyFont="1" applyBorder="1" applyAlignment="1">
      <alignment horizontal="right" vertical="center"/>
    </xf>
    <xf numFmtId="0" fontId="12" fillId="0" borderId="1" xfId="0" applyFont="1" applyBorder="1" applyAlignment="1">
      <alignment horizontal="right" vertical="center"/>
    </xf>
    <xf numFmtId="1" fontId="12" fillId="0" borderId="0" xfId="0" applyNumberFormat="1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1" fontId="5" fillId="16" borderId="1" xfId="0" applyNumberFormat="1" applyFont="1" applyFill="1" applyBorder="1" applyAlignment="1">
      <alignment horizontal="right" vertical="center"/>
    </xf>
    <xf numFmtId="166" fontId="22" fillId="0" borderId="6" xfId="3" applyNumberFormat="1" applyFont="1" applyBorder="1" applyAlignment="1">
      <alignment horizontal="right" vertical="center"/>
    </xf>
    <xf numFmtId="168" fontId="12" fillId="0" borderId="1" xfId="3" applyNumberFormat="1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0" xfId="3" applyFont="1" applyAlignment="1">
      <alignment horizontal="right" vertical="center"/>
    </xf>
    <xf numFmtId="170" fontId="12" fillId="16" borderId="0" xfId="3" applyNumberFormat="1" applyFont="1" applyFill="1" applyAlignment="1">
      <alignment horizontal="center" vertical="center"/>
    </xf>
    <xf numFmtId="1" fontId="10" fillId="0" borderId="0" xfId="3" applyNumberFormat="1" applyFont="1" applyAlignment="1">
      <alignment horizontal="right" vertical="center"/>
    </xf>
    <xf numFmtId="170" fontId="10" fillId="0" borderId="0" xfId="4" applyNumberFormat="1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3" applyFont="1" applyAlignment="1">
      <alignment horizontal="center" vertical="center"/>
    </xf>
    <xf numFmtId="0" fontId="12" fillId="0" borderId="0" xfId="3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1" fontId="12" fillId="0" borderId="0" xfId="3" applyNumberFormat="1" applyFont="1" applyAlignment="1">
      <alignment horizontal="right" vertical="center"/>
    </xf>
    <xf numFmtId="170" fontId="10" fillId="0" borderId="10" xfId="4" applyNumberFormat="1" applyFont="1" applyBorder="1" applyAlignment="1">
      <alignment horizontal="right" vertical="center"/>
    </xf>
    <xf numFmtId="1" fontId="10" fillId="0" borderId="1" xfId="3" applyNumberFormat="1" applyFont="1" applyBorder="1" applyAlignment="1">
      <alignment horizontal="center" vertical="center"/>
    </xf>
    <xf numFmtId="0" fontId="10" fillId="0" borderId="0" xfId="0" applyFont="1"/>
    <xf numFmtId="0" fontId="22" fillId="0" borderId="0" xfId="0" applyFont="1" applyAlignment="1">
      <alignment vertical="center"/>
    </xf>
    <xf numFmtId="170" fontId="12" fillId="16" borderId="0" xfId="4" applyNumberFormat="1" applyFont="1" applyFill="1" applyAlignment="1">
      <alignment horizontal="right" vertical="center"/>
    </xf>
    <xf numFmtId="1" fontId="22" fillId="0" borderId="1" xfId="3" applyNumberFormat="1" applyFont="1" applyBorder="1" applyAlignment="1">
      <alignment horizontal="center" vertical="center" wrapText="1"/>
    </xf>
    <xf numFmtId="0" fontId="22" fillId="0" borderId="1" xfId="3" applyFont="1" applyBorder="1" applyAlignment="1">
      <alignment horizontal="center" vertical="center"/>
    </xf>
    <xf numFmtId="171" fontId="12" fillId="0" borderId="1" xfId="0" applyNumberFormat="1" applyFont="1" applyBorder="1" applyAlignment="1">
      <alignment horizontal="right" vertical="center"/>
    </xf>
    <xf numFmtId="169" fontId="3" fillId="4" borderId="0" xfId="4" applyNumberFormat="1" applyFont="1" applyFill="1" applyBorder="1" applyAlignment="1">
      <alignment vertical="center"/>
    </xf>
    <xf numFmtId="169" fontId="3" fillId="4" borderId="1" xfId="4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right" vertical="center"/>
    </xf>
    <xf numFmtId="0" fontId="10" fillId="4" borderId="0" xfId="0" applyFont="1" applyFill="1" applyAlignment="1">
      <alignment vertical="center"/>
    </xf>
    <xf numFmtId="169" fontId="5" fillId="4" borderId="1" xfId="4" applyNumberFormat="1" applyFont="1" applyFill="1" applyBorder="1" applyAlignment="1">
      <alignment horizontal="right" vertical="center"/>
    </xf>
    <xf numFmtId="0" fontId="7" fillId="4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left" vertical="center" wrapText="1"/>
    </xf>
    <xf numFmtId="0" fontId="9" fillId="0" borderId="0" xfId="0" applyFont="1"/>
    <xf numFmtId="0" fontId="6" fillId="0" borderId="0" xfId="0" applyFont="1"/>
    <xf numFmtId="0" fontId="7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169" fontId="27" fillId="4" borderId="0" xfId="0" applyNumberFormat="1" applyFont="1" applyFill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justify" vertical="center"/>
    </xf>
    <xf numFmtId="0" fontId="6" fillId="0" borderId="0" xfId="0" applyFont="1" applyAlignment="1">
      <alignment horizontal="justify" vertical="center"/>
    </xf>
    <xf numFmtId="0" fontId="8" fillId="0" borderId="0" xfId="0" applyFont="1" applyAlignment="1">
      <alignment horizontal="justify" vertical="center"/>
    </xf>
    <xf numFmtId="0" fontId="7" fillId="0" borderId="1" xfId="0" applyFont="1" applyBorder="1" applyAlignment="1">
      <alignment horizontal="left" vertical="center" wrapText="1"/>
    </xf>
    <xf numFmtId="0" fontId="8" fillId="4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9" fillId="4" borderId="1" xfId="0" quotePrefix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65" fontId="10" fillId="0" borderId="10" xfId="0" applyNumberFormat="1" applyFont="1" applyBorder="1" applyAlignment="1">
      <alignment horizontal="left" vertical="center"/>
    </xf>
    <xf numFmtId="0" fontId="14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7" fillId="0" borderId="1" xfId="0" applyFont="1" applyBorder="1" applyAlignment="1">
      <alignment horizontal="center" vertical="center" wrapText="1"/>
    </xf>
    <xf numFmtId="167" fontId="11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165" fontId="12" fillId="0" borderId="10" xfId="0" applyNumberFormat="1" applyFont="1" applyBorder="1" applyAlignment="1">
      <alignment horizontal="right" vertical="center"/>
    </xf>
    <xf numFmtId="165" fontId="12" fillId="0" borderId="13" xfId="0" applyNumberFormat="1" applyFont="1" applyBorder="1" applyAlignment="1">
      <alignment horizontal="right" vertical="center"/>
    </xf>
    <xf numFmtId="0" fontId="23" fillId="0" borderId="10" xfId="3" applyFont="1" applyBorder="1" applyAlignment="1">
      <alignment horizontal="center" vertical="center"/>
    </xf>
    <xf numFmtId="1" fontId="23" fillId="0" borderId="13" xfId="3" applyNumberFormat="1" applyFont="1" applyBorder="1" applyAlignment="1">
      <alignment horizontal="center" vertical="center"/>
    </xf>
    <xf numFmtId="0" fontId="12" fillId="0" borderId="13" xfId="3" applyFont="1" applyBorder="1" applyAlignment="1">
      <alignment horizontal="center" vertical="center"/>
    </xf>
    <xf numFmtId="0" fontId="12" fillId="0" borderId="13" xfId="0" applyFont="1" applyBorder="1" applyAlignment="1">
      <alignment vertical="center"/>
    </xf>
    <xf numFmtId="170" fontId="12" fillId="0" borderId="13" xfId="4" applyNumberFormat="1" applyFont="1" applyBorder="1" applyAlignment="1">
      <alignment horizontal="right" vertical="center"/>
    </xf>
    <xf numFmtId="1" fontId="10" fillId="0" borderId="1" xfId="3" applyNumberFormat="1" applyFont="1" applyBorder="1" applyAlignment="1">
      <alignment horizontal="center" vertical="center" wrapText="1"/>
    </xf>
    <xf numFmtId="169" fontId="3" fillId="4" borderId="15" xfId="4" applyNumberFormat="1" applyFont="1" applyFill="1" applyBorder="1" applyAlignment="1">
      <alignment horizontal="right" vertical="center"/>
    </xf>
    <xf numFmtId="2" fontId="10" fillId="23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167" fontId="11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166" fontId="2" fillId="5" borderId="0" xfId="0" applyNumberFormat="1" applyFont="1" applyFill="1" applyAlignment="1">
      <alignment horizontal="center" vertical="center"/>
    </xf>
    <xf numFmtId="0" fontId="12" fillId="0" borderId="1" xfId="3" applyFont="1" applyBorder="1" applyAlignment="1">
      <alignment horizontal="center" vertical="center"/>
    </xf>
    <xf numFmtId="0" fontId="12" fillId="0" borderId="1" xfId="3" applyFont="1" applyBorder="1" applyAlignment="1">
      <alignment horizontal="right" vertical="center"/>
    </xf>
    <xf numFmtId="2" fontId="19" fillId="4" borderId="0" xfId="0" applyNumberFormat="1" applyFont="1" applyFill="1" applyAlignment="1">
      <alignment horizontal="right" vertical="center"/>
    </xf>
    <xf numFmtId="2" fontId="19" fillId="4" borderId="0" xfId="0" applyNumberFormat="1" applyFont="1" applyFill="1" applyAlignment="1">
      <alignment horizontal="left"/>
    </xf>
    <xf numFmtId="166" fontId="22" fillId="0" borderId="1" xfId="3" applyNumberFormat="1" applyFont="1" applyBorder="1" applyAlignment="1">
      <alignment horizontal="center" vertical="center"/>
    </xf>
    <xf numFmtId="169" fontId="5" fillId="4" borderId="1" xfId="4" applyNumberFormat="1" applyFont="1" applyFill="1" applyBorder="1" applyAlignment="1">
      <alignment horizontal="center" vertical="center"/>
    </xf>
    <xf numFmtId="166" fontId="20" fillId="25" borderId="10" xfId="0" applyNumberFormat="1" applyFont="1" applyFill="1" applyBorder="1" applyAlignment="1">
      <alignment horizontal="left" vertical="center"/>
    </xf>
    <xf numFmtId="0" fontId="10" fillId="25" borderId="13" xfId="0" applyFont="1" applyFill="1" applyBorder="1" applyAlignment="1">
      <alignment horizontal="center" vertical="center"/>
    </xf>
    <xf numFmtId="0" fontId="10" fillId="25" borderId="11" xfId="0" applyFont="1" applyFill="1" applyBorder="1" applyAlignment="1">
      <alignment horizontal="left" vertical="center"/>
    </xf>
    <xf numFmtId="2" fontId="21" fillId="4" borderId="1" xfId="0" applyNumberFormat="1" applyFont="1" applyFill="1" applyBorder="1" applyAlignment="1">
      <alignment horizontal="center" vertical="center"/>
    </xf>
    <xf numFmtId="0" fontId="12" fillId="0" borderId="9" xfId="0" applyFont="1" applyBorder="1" applyAlignment="1">
      <alignment horizontal="right" vertical="center"/>
    </xf>
    <xf numFmtId="2" fontId="10" fillId="23" borderId="1" xfId="0" applyNumberFormat="1" applyFont="1" applyFill="1" applyBorder="1" applyAlignment="1">
      <alignment horizontal="center" vertical="center"/>
    </xf>
    <xf numFmtId="14" fontId="34" fillId="0" borderId="0" xfId="0" applyNumberFormat="1" applyFont="1"/>
    <xf numFmtId="0" fontId="35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0" fillId="0" borderId="0" xfId="0" quotePrefix="1"/>
    <xf numFmtId="0" fontId="37" fillId="0" borderId="1" xfId="0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 wrapText="1"/>
    </xf>
    <xf numFmtId="0" fontId="38" fillId="0" borderId="10" xfId="0" applyFont="1" applyFill="1" applyBorder="1" applyAlignment="1">
      <alignment horizontal="center" vertical="center" wrapText="1"/>
    </xf>
    <xf numFmtId="0" fontId="38" fillId="0" borderId="11" xfId="0" applyFont="1" applyFill="1" applyBorder="1" applyAlignment="1">
      <alignment horizontal="center" vertical="center" wrapText="1"/>
    </xf>
    <xf numFmtId="0" fontId="37" fillId="0" borderId="1" xfId="0" applyFont="1" applyBorder="1"/>
    <xf numFmtId="0" fontId="38" fillId="0" borderId="10" xfId="0" applyFont="1" applyBorder="1" applyAlignment="1">
      <alignment wrapText="1"/>
    </xf>
    <xf numFmtId="0" fontId="38" fillId="0" borderId="10" xfId="0" applyFont="1" applyFill="1" applyBorder="1" applyAlignment="1">
      <alignment horizontal="center" vertical="center"/>
    </xf>
    <xf numFmtId="0" fontId="38" fillId="0" borderId="11" xfId="0" applyFont="1" applyFill="1" applyBorder="1" applyAlignment="1">
      <alignment horizontal="center" vertical="center"/>
    </xf>
    <xf numFmtId="0" fontId="38" fillId="0" borderId="10" xfId="0" applyFont="1" applyBorder="1"/>
    <xf numFmtId="0" fontId="38" fillId="0" borderId="10" xfId="0" applyFont="1" applyFill="1" applyBorder="1"/>
    <xf numFmtId="0" fontId="38" fillId="0" borderId="11" xfId="0" applyFont="1" applyFill="1" applyBorder="1" applyAlignment="1">
      <alignment horizontal="center" vertical="top"/>
    </xf>
    <xf numFmtId="0" fontId="39" fillId="0" borderId="1" xfId="0" applyFont="1" applyFill="1" applyBorder="1"/>
    <xf numFmtId="0" fontId="39" fillId="0" borderId="10" xfId="0" applyFont="1" applyFill="1" applyBorder="1"/>
    <xf numFmtId="0" fontId="37" fillId="0" borderId="10" xfId="0" applyFont="1" applyBorder="1"/>
    <xf numFmtId="0" fontId="37" fillId="0" borderId="10" xfId="0" applyFont="1" applyFill="1" applyBorder="1"/>
    <xf numFmtId="0" fontId="37" fillId="0" borderId="1" xfId="0" applyFont="1" applyFill="1" applyBorder="1"/>
    <xf numFmtId="0" fontId="38" fillId="0" borderId="1" xfId="0" applyFont="1" applyFill="1" applyBorder="1"/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41" fillId="4" borderId="1" xfId="0" applyFont="1" applyFill="1" applyBorder="1" applyAlignment="1">
      <alignment horizontal="center" vertical="center" wrapText="1"/>
    </xf>
    <xf numFmtId="0" fontId="41" fillId="0" borderId="0" xfId="0" applyFont="1" applyAlignment="1">
      <alignment vertical="center"/>
    </xf>
    <xf numFmtId="0" fontId="41" fillId="0" borderId="0" xfId="0" applyFont="1"/>
    <xf numFmtId="0" fontId="40" fillId="4" borderId="0" xfId="0" applyFont="1" applyFill="1" applyAlignment="1">
      <alignment horizontal="left" vertical="center" wrapText="1"/>
    </xf>
    <xf numFmtId="0" fontId="40" fillId="0" borderId="0" xfId="0" applyFont="1" applyAlignment="1">
      <alignment horizontal="justify" vertical="center"/>
    </xf>
    <xf numFmtId="0" fontId="41" fillId="0" borderId="0" xfId="0" applyFont="1" applyAlignment="1">
      <alignment horizontal="justify" vertical="center"/>
    </xf>
    <xf numFmtId="0" fontId="6" fillId="4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0" fillId="4" borderId="7" xfId="0" applyFill="1" applyBorder="1"/>
    <xf numFmtId="0" fontId="0" fillId="4" borderId="12" xfId="0" applyFill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6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169" fontId="1" fillId="0" borderId="1" xfId="4" applyNumberFormat="1" applyFont="1" applyFill="1" applyBorder="1" applyAlignment="1">
      <alignment horizontal="right" vertical="center"/>
    </xf>
    <xf numFmtId="2" fontId="0" fillId="0" borderId="1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69" fontId="22" fillId="4" borderId="0" xfId="4" applyNumberFormat="1" applyFont="1" applyFill="1" applyBorder="1" applyAlignment="1">
      <alignment horizontal="center" vertical="center"/>
    </xf>
    <xf numFmtId="169" fontId="43" fillId="0" borderId="1" xfId="0" applyNumberFormat="1" applyFont="1" applyBorder="1" applyAlignment="1">
      <alignment horizontal="right" vertical="center"/>
    </xf>
    <xf numFmtId="0" fontId="43" fillId="0" borderId="1" xfId="0" applyFont="1" applyBorder="1" applyAlignment="1">
      <alignment horizontal="right" vertical="center"/>
    </xf>
    <xf numFmtId="2" fontId="43" fillId="0" borderId="1" xfId="0" applyNumberFormat="1" applyFont="1" applyBorder="1" applyAlignment="1">
      <alignment horizontal="center" vertical="center"/>
    </xf>
    <xf numFmtId="169" fontId="43" fillId="0" borderId="1" xfId="0" applyNumberFormat="1" applyFont="1" applyBorder="1"/>
    <xf numFmtId="0" fontId="0" fillId="0" borderId="1" xfId="0" applyBorder="1"/>
    <xf numFmtId="1" fontId="0" fillId="0" borderId="1" xfId="0" applyNumberFormat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4" fillId="0" borderId="1" xfId="0" applyFont="1" applyBorder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169" fontId="0" fillId="0" borderId="1" xfId="4" applyNumberFormat="1" applyFont="1" applyFill="1" applyBorder="1" applyAlignment="1">
      <alignment horizontal="center" vertical="center" wrapText="1"/>
    </xf>
    <xf numFmtId="169" fontId="0" fillId="0" borderId="1" xfId="4" applyNumberFormat="1" applyFont="1" applyFill="1" applyBorder="1" applyAlignment="1">
      <alignment horizontal="left" vertical="center" wrapText="1"/>
    </xf>
    <xf numFmtId="0" fontId="0" fillId="4" borderId="1" xfId="0" applyFill="1" applyBorder="1"/>
    <xf numFmtId="0" fontId="34" fillId="4" borderId="1" xfId="0" applyFont="1" applyFill="1" applyBorder="1" applyAlignment="1">
      <alignment horizontal="right"/>
    </xf>
    <xf numFmtId="0" fontId="10" fillId="2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32" fillId="0" borderId="15" xfId="0" applyFont="1" applyBorder="1" applyAlignment="1">
      <alignment horizontal="center" vertical="center"/>
    </xf>
    <xf numFmtId="170" fontId="10" fillId="0" borderId="2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0" fontId="33" fillId="0" borderId="15" xfId="0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14" fontId="0" fillId="0" borderId="0" xfId="0" applyNumberFormat="1"/>
    <xf numFmtId="165" fontId="10" fillId="2" borderId="10" xfId="0" applyNumberFormat="1" applyFont="1" applyFill="1" applyBorder="1" applyAlignment="1">
      <alignment vertical="center"/>
    </xf>
    <xf numFmtId="165" fontId="10" fillId="2" borderId="13" xfId="0" applyNumberFormat="1" applyFont="1" applyFill="1" applyBorder="1" applyAlignment="1">
      <alignment vertical="center"/>
    </xf>
    <xf numFmtId="0" fontId="10" fillId="2" borderId="13" xfId="0" applyFont="1" applyFill="1" applyBorder="1" applyAlignment="1">
      <alignment horizontal="left" vertical="center"/>
    </xf>
    <xf numFmtId="1" fontId="10" fillId="2" borderId="1" xfId="0" applyNumberFormat="1" applyFont="1" applyFill="1" applyBorder="1" applyAlignment="1">
      <alignment horizontal="center" vertical="center"/>
    </xf>
    <xf numFmtId="170" fontId="10" fillId="2" borderId="1" xfId="4" applyNumberFormat="1" applyFont="1" applyFill="1" applyBorder="1" applyAlignment="1">
      <alignment horizontal="right" vertical="center"/>
    </xf>
    <xf numFmtId="165" fontId="10" fillId="2" borderId="7" xfId="0" applyNumberFormat="1" applyFont="1" applyFill="1" applyBorder="1" applyAlignment="1">
      <alignment horizontal="left" vertical="center"/>
    </xf>
    <xf numFmtId="165" fontId="10" fillId="2" borderId="12" xfId="0" applyNumberFormat="1" applyFont="1" applyFill="1" applyBorder="1" applyAlignment="1">
      <alignment horizontal="left" vertical="center"/>
    </xf>
    <xf numFmtId="0" fontId="10" fillId="2" borderId="12" xfId="0" applyFont="1" applyFill="1" applyBorder="1" applyAlignment="1">
      <alignment horizontal="left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1" fontId="10" fillId="2" borderId="15" xfId="0" applyNumberFormat="1" applyFont="1" applyFill="1" applyBorder="1" applyAlignment="1">
      <alignment horizontal="center" vertical="center"/>
    </xf>
    <xf numFmtId="165" fontId="10" fillId="2" borderId="15" xfId="0" applyNumberFormat="1" applyFont="1" applyFill="1" applyBorder="1" applyAlignment="1">
      <alignment horizontal="center" vertical="center"/>
    </xf>
    <xf numFmtId="170" fontId="10" fillId="2" borderId="15" xfId="4" applyNumberFormat="1" applyFont="1" applyFill="1" applyBorder="1" applyAlignment="1">
      <alignment horizontal="right" vertical="center"/>
    </xf>
    <xf numFmtId="165" fontId="22" fillId="2" borderId="10" xfId="0" applyNumberFormat="1" applyFont="1" applyFill="1" applyBorder="1" applyAlignment="1">
      <alignment vertical="center"/>
    </xf>
    <xf numFmtId="165" fontId="26" fillId="2" borderId="13" xfId="0" applyNumberFormat="1" applyFont="1" applyFill="1" applyBorder="1" applyAlignment="1">
      <alignment vertical="center"/>
    </xf>
    <xf numFmtId="0" fontId="21" fillId="2" borderId="13" xfId="0" applyFont="1" applyFill="1" applyBorder="1"/>
    <xf numFmtId="0" fontId="21" fillId="2" borderId="11" xfId="0" applyFont="1" applyFill="1" applyBorder="1"/>
    <xf numFmtId="1" fontId="21" fillId="2" borderId="1" xfId="0" applyNumberFormat="1" applyFont="1" applyFill="1" applyBorder="1" applyAlignment="1">
      <alignment horizontal="center" vertical="center"/>
    </xf>
    <xf numFmtId="166" fontId="10" fillId="2" borderId="10" xfId="0" applyNumberFormat="1" applyFont="1" applyFill="1" applyBorder="1" applyAlignment="1">
      <alignment vertical="center"/>
    </xf>
    <xf numFmtId="166" fontId="10" fillId="2" borderId="13" xfId="0" applyNumberFormat="1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165" fontId="12" fillId="0" borderId="10" xfId="0" applyNumberFormat="1" applyFont="1" applyBorder="1" applyAlignment="1">
      <alignment horizontal="right" vertical="center"/>
    </xf>
    <xf numFmtId="165" fontId="12" fillId="0" borderId="13" xfId="0" applyNumberFormat="1" applyFont="1" applyBorder="1" applyAlignment="1">
      <alignment horizontal="right" vertical="center"/>
    </xf>
    <xf numFmtId="170" fontId="10" fillId="0" borderId="2" xfId="0" applyNumberFormat="1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0" fontId="33" fillId="0" borderId="15" xfId="0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32" fillId="0" borderId="15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1" fontId="30" fillId="0" borderId="1" xfId="3" applyNumberFormat="1" applyFont="1" applyBorder="1" applyAlignment="1">
      <alignment horizontal="center" vertical="center"/>
    </xf>
    <xf numFmtId="43" fontId="10" fillId="0" borderId="10" xfId="4" applyNumberFormat="1" applyFont="1" applyBorder="1" applyAlignment="1">
      <alignment horizontal="right" vertical="center"/>
    </xf>
    <xf numFmtId="171" fontId="10" fillId="0" borderId="2" xfId="0" applyNumberFormat="1" applyFont="1" applyBorder="1" applyAlignment="1">
      <alignment horizontal="center" vertical="center"/>
    </xf>
    <xf numFmtId="171" fontId="10" fillId="0" borderId="2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172" fontId="10" fillId="0" borderId="2" xfId="0" applyNumberFormat="1" applyFont="1" applyBorder="1" applyAlignment="1">
      <alignment horizontal="center" vertical="center"/>
    </xf>
    <xf numFmtId="0" fontId="16" fillId="0" borderId="2" xfId="3" applyFont="1" applyBorder="1" applyAlignment="1">
      <alignment horizontal="center" vertical="center"/>
    </xf>
    <xf numFmtId="165" fontId="12" fillId="0" borderId="0" xfId="0" applyNumberFormat="1" applyFont="1" applyAlignment="1">
      <alignment horizontal="left" vertical="center"/>
    </xf>
    <xf numFmtId="165" fontId="12" fillId="0" borderId="3" xfId="0" applyNumberFormat="1" applyFont="1" applyBorder="1" applyAlignment="1">
      <alignment horizontal="right" vertical="center"/>
    </xf>
    <xf numFmtId="165" fontId="12" fillId="0" borderId="9" xfId="0" applyNumberFormat="1" applyFont="1" applyBorder="1" applyAlignment="1">
      <alignment horizontal="right" vertical="center"/>
    </xf>
    <xf numFmtId="1" fontId="23" fillId="0" borderId="0" xfId="0" applyNumberFormat="1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1" fontId="10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10" fillId="0" borderId="10" xfId="0" applyNumberFormat="1" applyFont="1" applyFill="1" applyBorder="1" applyAlignment="1">
      <alignment vertical="center"/>
    </xf>
    <xf numFmtId="166" fontId="10" fillId="0" borderId="13" xfId="0" applyNumberFormat="1" applyFont="1" applyFill="1" applyBorder="1" applyAlignment="1">
      <alignment vertical="center"/>
    </xf>
    <xf numFmtId="0" fontId="10" fillId="0" borderId="13" xfId="0" applyFont="1" applyFill="1" applyBorder="1" applyAlignment="1">
      <alignment horizontal="left" vertical="center"/>
    </xf>
    <xf numFmtId="0" fontId="10" fillId="0" borderId="1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" fontId="21" fillId="0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Fill="1" applyBorder="1" applyAlignment="1">
      <alignment horizontal="center" vertical="center"/>
    </xf>
    <xf numFmtId="170" fontId="10" fillId="0" borderId="1" xfId="4" applyNumberFormat="1" applyFont="1" applyFill="1" applyBorder="1" applyAlignment="1">
      <alignment horizontal="right" vertical="center"/>
    </xf>
    <xf numFmtId="166" fontId="29" fillId="0" borderId="13" xfId="0" applyNumberFormat="1" applyFont="1" applyBorder="1" applyAlignment="1">
      <alignment horizontal="center" vertical="center"/>
    </xf>
    <xf numFmtId="0" fontId="47" fillId="0" borderId="11" xfId="0" applyFont="1" applyFill="1" applyBorder="1" applyAlignment="1">
      <alignment horizontal="center" vertical="center" wrapText="1"/>
    </xf>
    <xf numFmtId="1" fontId="9" fillId="4" borderId="1" xfId="0" applyNumberFormat="1" applyFont="1" applyFill="1" applyBorder="1" applyAlignment="1">
      <alignment horizontal="center" vertical="center" wrapText="1"/>
    </xf>
    <xf numFmtId="0" fontId="48" fillId="4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Border="1"/>
    <xf numFmtId="170" fontId="10" fillId="0" borderId="2" xfId="0" applyNumberFormat="1" applyFont="1" applyBorder="1" applyAlignment="1">
      <alignment horizontal="center" vertical="center"/>
    </xf>
    <xf numFmtId="171" fontId="10" fillId="0" borderId="2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32" fillId="0" borderId="15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165" fontId="12" fillId="0" borderId="10" xfId="0" applyNumberFormat="1" applyFont="1" applyBorder="1" applyAlignment="1">
      <alignment horizontal="right" vertical="center"/>
    </xf>
    <xf numFmtId="165" fontId="12" fillId="0" borderId="13" xfId="0" applyNumberFormat="1" applyFont="1" applyBorder="1" applyAlignment="1">
      <alignment horizontal="right" vertical="center"/>
    </xf>
    <xf numFmtId="0" fontId="31" fillId="0" borderId="15" xfId="0" applyFont="1" applyBorder="1" applyAlignment="1">
      <alignment horizontal="center" vertical="center"/>
    </xf>
    <xf numFmtId="0" fontId="33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165" fontId="10" fillId="4" borderId="9" xfId="0" applyNumberFormat="1" applyFont="1" applyFill="1" applyBorder="1" applyAlignment="1">
      <alignment vertical="center"/>
    </xf>
    <xf numFmtId="0" fontId="10" fillId="4" borderId="9" xfId="0" applyFont="1" applyFill="1" applyBorder="1" applyAlignment="1">
      <alignment horizontal="left" vertical="center"/>
    </xf>
    <xf numFmtId="0" fontId="10" fillId="4" borderId="4" xfId="0" applyFont="1" applyFill="1" applyBorder="1" applyAlignment="1">
      <alignment horizontal="center" vertical="center"/>
    </xf>
    <xf numFmtId="1" fontId="10" fillId="4" borderId="4" xfId="0" applyNumberFormat="1" applyFont="1" applyFill="1" applyBorder="1" applyAlignment="1">
      <alignment horizontal="center" vertical="center"/>
    </xf>
    <xf numFmtId="165" fontId="10" fillId="4" borderId="2" xfId="0" applyNumberFormat="1" applyFont="1" applyFill="1" applyBorder="1" applyAlignment="1">
      <alignment horizontal="center" vertical="center"/>
    </xf>
    <xf numFmtId="170" fontId="10" fillId="4" borderId="2" xfId="4" applyNumberFormat="1" applyFont="1" applyFill="1" applyBorder="1" applyAlignment="1">
      <alignment horizontal="right" vertical="center"/>
    </xf>
    <xf numFmtId="165" fontId="21" fillId="4" borderId="3" xfId="0" applyNumberFormat="1" applyFont="1" applyFill="1" applyBorder="1" applyAlignment="1">
      <alignment vertical="center"/>
    </xf>
    <xf numFmtId="165" fontId="21" fillId="4" borderId="9" xfId="0" applyNumberFormat="1" applyFont="1" applyFill="1" applyBorder="1" applyAlignment="1">
      <alignment vertical="center"/>
    </xf>
    <xf numFmtId="0" fontId="21" fillId="4" borderId="9" xfId="0" applyFont="1" applyFill="1" applyBorder="1" applyAlignment="1">
      <alignment horizontal="left" vertical="center"/>
    </xf>
    <xf numFmtId="0" fontId="21" fillId="4" borderId="4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" fontId="21" fillId="4" borderId="4" xfId="0" applyNumberFormat="1" applyFont="1" applyFill="1" applyBorder="1" applyAlignment="1">
      <alignment horizontal="center" vertical="center"/>
    </xf>
    <xf numFmtId="165" fontId="21" fillId="4" borderId="2" xfId="0" applyNumberFormat="1" applyFont="1" applyFill="1" applyBorder="1" applyAlignment="1">
      <alignment horizontal="center" vertical="center"/>
    </xf>
    <xf numFmtId="170" fontId="21" fillId="4" borderId="2" xfId="4" applyNumberFormat="1" applyFont="1" applyFill="1" applyBorder="1" applyAlignment="1">
      <alignment horizontal="right" vertical="center"/>
    </xf>
    <xf numFmtId="0" fontId="51" fillId="0" borderId="1" xfId="0" applyFont="1" applyFill="1" applyBorder="1" applyAlignment="1">
      <alignment horizontal="center" vertical="center" wrapText="1"/>
    </xf>
    <xf numFmtId="0" fontId="51" fillId="0" borderId="1" xfId="0" applyFont="1" applyFill="1" applyBorder="1" applyAlignment="1">
      <alignment horizontal="center" vertical="center"/>
    </xf>
    <xf numFmtId="166" fontId="19" fillId="0" borderId="10" xfId="0" applyNumberFormat="1" applyFont="1" applyFill="1" applyBorder="1" applyAlignment="1">
      <alignment vertical="center"/>
    </xf>
    <xf numFmtId="166" fontId="19" fillId="0" borderId="13" xfId="0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0" fontId="19" fillId="0" borderId="1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1" fontId="19" fillId="0" borderId="1" xfId="0" applyNumberFormat="1" applyFont="1" applyFill="1" applyBorder="1" applyAlignment="1">
      <alignment horizontal="center" vertical="center"/>
    </xf>
    <xf numFmtId="165" fontId="19" fillId="0" borderId="1" xfId="0" applyNumberFormat="1" applyFont="1" applyFill="1" applyBorder="1" applyAlignment="1">
      <alignment horizontal="center" vertical="center"/>
    </xf>
    <xf numFmtId="170" fontId="19" fillId="0" borderId="1" xfId="4" applyNumberFormat="1" applyFont="1" applyFill="1" applyBorder="1" applyAlignment="1">
      <alignment horizontal="right" vertical="center"/>
    </xf>
    <xf numFmtId="1" fontId="19" fillId="4" borderId="1" xfId="0" applyNumberFormat="1" applyFont="1" applyFill="1" applyBorder="1" applyAlignment="1">
      <alignment horizontal="center" vertical="center"/>
    </xf>
    <xf numFmtId="166" fontId="53" fillId="0" borderId="13" xfId="0" applyNumberFormat="1" applyFont="1" applyBorder="1" applyAlignment="1">
      <alignment horizontal="left" vertical="center"/>
    </xf>
    <xf numFmtId="1" fontId="54" fillId="0" borderId="1" xfId="3" applyNumberFormat="1" applyFont="1" applyBorder="1" applyAlignment="1">
      <alignment horizontal="center" vertical="center" wrapText="1"/>
    </xf>
    <xf numFmtId="165" fontId="19" fillId="4" borderId="3" xfId="0" applyNumberFormat="1" applyFont="1" applyFill="1" applyBorder="1" applyAlignment="1">
      <alignment vertical="center"/>
    </xf>
    <xf numFmtId="167" fontId="11" fillId="0" borderId="0" xfId="0" applyNumberFormat="1" applyFont="1" applyAlignment="1">
      <alignment horizontal="center" vertical="center"/>
    </xf>
    <xf numFmtId="0" fontId="45" fillId="26" borderId="1" xfId="0" applyFont="1" applyFill="1" applyBorder="1" applyAlignment="1">
      <alignment horizontal="center"/>
    </xf>
    <xf numFmtId="1" fontId="45" fillId="26" borderId="1" xfId="0" applyNumberFormat="1" applyFont="1" applyFill="1" applyBorder="1" applyAlignment="1">
      <alignment horizontal="center" vertical="center"/>
    </xf>
    <xf numFmtId="0" fontId="45" fillId="26" borderId="1" xfId="0" applyFont="1" applyFill="1" applyBorder="1"/>
    <xf numFmtId="0" fontId="0" fillId="26" borderId="1" xfId="0" applyFill="1" applyBorder="1" applyAlignment="1">
      <alignment horizontal="center" vertical="center"/>
    </xf>
    <xf numFmtId="14" fontId="43" fillId="0" borderId="1" xfId="0" applyNumberFormat="1" applyFont="1" applyBorder="1" applyAlignment="1">
      <alignment horizontal="center" vertical="center"/>
    </xf>
    <xf numFmtId="2" fontId="52" fillId="0" borderId="1" xfId="0" applyNumberFormat="1" applyFont="1" applyBorder="1" applyAlignment="1">
      <alignment horizontal="center" vertical="center"/>
    </xf>
    <xf numFmtId="0" fontId="34" fillId="4" borderId="1" xfId="0" applyFont="1" applyFill="1" applyBorder="1" applyAlignment="1">
      <alignment horizontal="center"/>
    </xf>
    <xf numFmtId="0" fontId="42" fillId="25" borderId="5" xfId="0" applyFont="1" applyFill="1" applyBorder="1" applyAlignment="1">
      <alignment horizontal="center" vertical="center"/>
    </xf>
    <xf numFmtId="0" fontId="42" fillId="25" borderId="0" xfId="0" applyFont="1" applyFill="1" applyBorder="1" applyAlignment="1">
      <alignment horizontal="center" vertical="center"/>
    </xf>
    <xf numFmtId="0" fontId="42" fillId="25" borderId="6" xfId="0" applyFont="1" applyFill="1" applyBorder="1" applyAlignment="1">
      <alignment horizontal="center" vertical="center"/>
    </xf>
    <xf numFmtId="0" fontId="43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49" fillId="0" borderId="1" xfId="0" applyFont="1" applyBorder="1" applyAlignment="1">
      <alignment horizontal="left" vertical="center" wrapText="1"/>
    </xf>
    <xf numFmtId="0" fontId="30" fillId="0" borderId="10" xfId="0" applyFont="1" applyBorder="1" applyAlignment="1">
      <alignment horizontal="left" vertical="center"/>
    </xf>
    <xf numFmtId="0" fontId="30" fillId="0" borderId="13" xfId="0" applyFont="1" applyBorder="1" applyAlignment="1">
      <alignment horizontal="left" vertical="center"/>
    </xf>
    <xf numFmtId="0" fontId="30" fillId="0" borderId="11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171" fontId="10" fillId="0" borderId="1" xfId="0" applyNumberFormat="1" applyFont="1" applyBorder="1" applyAlignment="1">
      <alignment horizontal="center" vertical="center"/>
    </xf>
    <xf numFmtId="172" fontId="10" fillId="0" borderId="1" xfId="0" applyNumberFormat="1" applyFont="1" applyBorder="1" applyAlignment="1">
      <alignment horizontal="center" vertical="center"/>
    </xf>
    <xf numFmtId="170" fontId="10" fillId="0" borderId="1" xfId="0" applyNumberFormat="1" applyFont="1" applyBorder="1" applyAlignment="1">
      <alignment horizontal="center" vertical="center"/>
    </xf>
    <xf numFmtId="0" fontId="12" fillId="24" borderId="10" xfId="3" applyFont="1" applyFill="1" applyBorder="1" applyAlignment="1">
      <alignment horizontal="center" vertical="center"/>
    </xf>
    <xf numFmtId="0" fontId="12" fillId="24" borderId="11" xfId="3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1" fontId="12" fillId="5" borderId="5" xfId="0" applyNumberFormat="1" applyFont="1" applyFill="1" applyBorder="1" applyAlignment="1">
      <alignment horizontal="center" vertical="center"/>
    </xf>
    <xf numFmtId="1" fontId="12" fillId="5" borderId="0" xfId="0" applyNumberFormat="1" applyFont="1" applyFill="1" applyAlignment="1">
      <alignment horizontal="center" vertical="center"/>
    </xf>
    <xf numFmtId="1" fontId="12" fillId="5" borderId="6" xfId="0" applyNumberFormat="1" applyFont="1" applyFill="1" applyBorder="1" applyAlignment="1">
      <alignment horizontal="center" vertical="center"/>
    </xf>
    <xf numFmtId="0" fontId="55" fillId="0" borderId="0" xfId="0" quotePrefix="1" applyFont="1" applyAlignment="1">
      <alignment horizontal="center" vertical="center" wrapText="1"/>
    </xf>
    <xf numFmtId="0" fontId="55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169" fontId="3" fillId="4" borderId="1" xfId="4" applyNumberFormat="1" applyFont="1" applyFill="1" applyBorder="1" applyAlignment="1">
      <alignment horizontal="center" vertical="center"/>
    </xf>
    <xf numFmtId="0" fontId="29" fillId="0" borderId="1" xfId="0" applyFont="1" applyBorder="1" applyAlignment="1">
      <alignment horizontal="left" vertical="center"/>
    </xf>
    <xf numFmtId="0" fontId="57" fillId="0" borderId="2" xfId="0" applyFont="1" applyBorder="1" applyAlignment="1">
      <alignment horizontal="center" vertical="center"/>
    </xf>
    <xf numFmtId="0" fontId="57" fillId="0" borderId="14" xfId="0" applyFont="1" applyBorder="1" applyAlignment="1">
      <alignment horizontal="center" vertical="center"/>
    </xf>
    <xf numFmtId="0" fontId="57" fillId="0" borderId="15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32" fillId="24" borderId="1" xfId="0" applyFont="1" applyFill="1" applyBorder="1" applyAlignment="1">
      <alignment horizontal="center" vertical="center"/>
    </xf>
    <xf numFmtId="1" fontId="10" fillId="0" borderId="13" xfId="0" applyNumberFormat="1" applyFont="1" applyBorder="1" applyAlignment="1">
      <alignment horizontal="center" vertical="center"/>
    </xf>
    <xf numFmtId="165" fontId="12" fillId="0" borderId="10" xfId="0" applyNumberFormat="1" applyFont="1" applyBorder="1" applyAlignment="1">
      <alignment horizontal="right" vertical="center"/>
    </xf>
    <xf numFmtId="165" fontId="12" fillId="0" borderId="13" xfId="0" applyNumberFormat="1" applyFont="1" applyBorder="1" applyAlignment="1">
      <alignment horizontal="right" vertical="center"/>
    </xf>
    <xf numFmtId="165" fontId="12" fillId="0" borderId="11" xfId="0" applyNumberFormat="1" applyFont="1" applyBorder="1" applyAlignment="1">
      <alignment horizontal="right" vertical="center"/>
    </xf>
    <xf numFmtId="167" fontId="31" fillId="0" borderId="2" xfId="0" applyNumberFormat="1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0" fontId="56" fillId="0" borderId="2" xfId="0" applyFont="1" applyBorder="1" applyAlignment="1">
      <alignment horizontal="center" vertical="center"/>
    </xf>
    <xf numFmtId="0" fontId="56" fillId="0" borderId="14" xfId="0" applyFont="1" applyBorder="1" applyAlignment="1">
      <alignment horizontal="center" vertical="center"/>
    </xf>
    <xf numFmtId="0" fontId="56" fillId="0" borderId="1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170" fontId="10" fillId="0" borderId="2" xfId="0" applyNumberFormat="1" applyFont="1" applyBorder="1" applyAlignment="1">
      <alignment horizontal="center" vertical="center"/>
    </xf>
    <xf numFmtId="170" fontId="10" fillId="0" borderId="14" xfId="0" applyNumberFormat="1" applyFont="1" applyBorder="1" applyAlignment="1">
      <alignment horizontal="center" vertical="center"/>
    </xf>
    <xf numFmtId="170" fontId="10" fillId="0" borderId="15" xfId="0" applyNumberFormat="1" applyFont="1" applyBorder="1" applyAlignment="1">
      <alignment horizontal="center" vertical="center"/>
    </xf>
    <xf numFmtId="171" fontId="10" fillId="0" borderId="2" xfId="0" applyNumberFormat="1" applyFont="1" applyBorder="1" applyAlignment="1">
      <alignment horizontal="center" vertical="center"/>
    </xf>
    <xf numFmtId="171" fontId="10" fillId="0" borderId="14" xfId="0" applyNumberFormat="1" applyFont="1" applyBorder="1" applyAlignment="1">
      <alignment horizontal="center" vertical="center"/>
    </xf>
    <xf numFmtId="171" fontId="10" fillId="0" borderId="15" xfId="0" applyNumberFormat="1" applyFont="1" applyBorder="1" applyAlignment="1">
      <alignment horizontal="center" vertical="center"/>
    </xf>
    <xf numFmtId="43" fontId="10" fillId="0" borderId="2" xfId="0" applyNumberFormat="1" applyFont="1" applyBorder="1" applyAlignment="1">
      <alignment horizontal="center" vertical="center"/>
    </xf>
    <xf numFmtId="43" fontId="10" fillId="0" borderId="14" xfId="0" applyNumberFormat="1" applyFont="1" applyBorder="1" applyAlignment="1">
      <alignment horizontal="center" vertical="center"/>
    </xf>
    <xf numFmtId="43" fontId="10" fillId="0" borderId="15" xfId="0" applyNumberFormat="1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0" fontId="32" fillId="0" borderId="15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3" fillId="0" borderId="14" xfId="0" applyFont="1" applyBorder="1" applyAlignment="1">
      <alignment horizontal="center" vertical="center"/>
    </xf>
    <xf numFmtId="0" fontId="33" fillId="0" borderId="15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46" fillId="0" borderId="1" xfId="0" quotePrefix="1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0" xfId="0" quotePrefix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42" fillId="25" borderId="1" xfId="0" applyFont="1" applyFill="1" applyBorder="1" applyAlignment="1">
      <alignment horizontal="center" vertical="center"/>
    </xf>
  </cellXfs>
  <cellStyles count="7">
    <cellStyle name="Comma 2" xfId="4"/>
    <cellStyle name="Currency 2" xfId="2"/>
    <cellStyle name="Normal" xfId="0" builtinId="0"/>
    <cellStyle name="Normal 2" xfId="5"/>
    <cellStyle name="Normal 3 2" xfId="3"/>
    <cellStyle name="Normal 4" xfId="6"/>
    <cellStyle name="Percent" xfId="1" builtinId="5"/>
  </cellStyles>
  <dxfs count="0"/>
  <tableStyles count="0" defaultTableStyle="TableStyleMedium9" defaultPivotStyle="PivotStyleLight16"/>
  <colors>
    <mruColors>
      <color rgb="FF9FFBDF"/>
      <color rgb="FF23AECF"/>
      <color rgb="FFFF99FF"/>
      <color rgb="FF0CF417"/>
      <color rgb="FFA1F7F9"/>
      <color rgb="FF69D8FF"/>
      <color rgb="FF80E8A0"/>
      <color rgb="FFFAACE4"/>
      <color rgb="FFFFFFCC"/>
      <color rgb="FFE2FE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2416907</xdr:colOff>
      <xdr:row>2</xdr:row>
      <xdr:rowOff>72828</xdr:rowOff>
    </xdr:from>
    <xdr:ext cx="429103" cy="395408"/>
    <xdr:pic>
      <xdr:nvPicPr>
        <xdr:cNvPr id="2" name="Picture 1" descr="cid:022401ccd778$53d0c520$0401a8c0@pramila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245668" y="652611"/>
          <a:ext cx="429103" cy="3954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2408464</xdr:colOff>
      <xdr:row>2</xdr:row>
      <xdr:rowOff>68035</xdr:rowOff>
    </xdr:from>
    <xdr:ext cx="429103" cy="395408"/>
    <xdr:pic>
      <xdr:nvPicPr>
        <xdr:cNvPr id="3" name="Picture 2" descr="cid:022401ccd778$53d0c520$0401a8c0@pramila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287750" y="639535"/>
          <a:ext cx="429103" cy="3954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895349</xdr:colOff>
      <xdr:row>6</xdr:row>
      <xdr:rowOff>114300</xdr:rowOff>
    </xdr:from>
    <xdr:to>
      <xdr:col>12</xdr:col>
      <xdr:colOff>142874</xdr:colOff>
      <xdr:row>6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SpPr/>
      </xdr:nvSpPr>
      <xdr:spPr>
        <a:xfrm>
          <a:off x="6553199" y="1104900"/>
          <a:ext cx="2667000" cy="666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0</xdr:colOff>
      <xdr:row>7</xdr:row>
      <xdr:rowOff>0</xdr:rowOff>
    </xdr:from>
    <xdr:to>
      <xdr:col>12</xdr:col>
      <xdr:colOff>152400</xdr:colOff>
      <xdr:row>7</xdr:row>
      <xdr:rowOff>76200</xdr:rowOff>
    </xdr:to>
    <xdr:sp macro="" textlink="">
      <xdr:nvSpPr>
        <xdr:cNvPr id="3" name="Rectangle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SpPr/>
      </xdr:nvSpPr>
      <xdr:spPr>
        <a:xfrm>
          <a:off x="8343900" y="1428750"/>
          <a:ext cx="152400" cy="762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895350</xdr:colOff>
      <xdr:row>7</xdr:row>
      <xdr:rowOff>19050</xdr:rowOff>
    </xdr:from>
    <xdr:to>
      <xdr:col>9</xdr:col>
      <xdr:colOff>0</xdr:colOff>
      <xdr:row>7</xdr:row>
      <xdr:rowOff>95250</xdr:rowOff>
    </xdr:to>
    <xdr:sp macro="" textlink="">
      <xdr:nvSpPr>
        <xdr:cNvPr id="4" name="Rectangle 3">
          <a:extLst>
            <a:ext uri="{FF2B5EF4-FFF2-40B4-BE49-F238E27FC236}">
              <a16:creationId xmlns="" xmlns:a16="http://schemas.microsoft.com/office/drawing/2014/main" id="{00000000-0008-0000-0400-000004000000}"/>
            </a:ext>
          </a:extLst>
        </xdr:cNvPr>
        <xdr:cNvSpPr/>
      </xdr:nvSpPr>
      <xdr:spPr>
        <a:xfrm>
          <a:off x="6686550" y="1447800"/>
          <a:ext cx="152400" cy="762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895349</xdr:colOff>
      <xdr:row>6</xdr:row>
      <xdr:rowOff>114300</xdr:rowOff>
    </xdr:from>
    <xdr:to>
      <xdr:col>12</xdr:col>
      <xdr:colOff>142874</xdr:colOff>
      <xdr:row>6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SpPr/>
      </xdr:nvSpPr>
      <xdr:spPr>
        <a:xfrm>
          <a:off x="6572249" y="1104900"/>
          <a:ext cx="2667000" cy="666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0</xdr:colOff>
      <xdr:row>7</xdr:row>
      <xdr:rowOff>0</xdr:rowOff>
    </xdr:from>
    <xdr:to>
      <xdr:col>12</xdr:col>
      <xdr:colOff>152400</xdr:colOff>
      <xdr:row>7</xdr:row>
      <xdr:rowOff>76200</xdr:rowOff>
    </xdr:to>
    <xdr:sp macro="" textlink="">
      <xdr:nvSpPr>
        <xdr:cNvPr id="3" name="Rectangle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SpPr/>
      </xdr:nvSpPr>
      <xdr:spPr>
        <a:xfrm>
          <a:off x="9096375" y="1181100"/>
          <a:ext cx="152400" cy="762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895350</xdr:colOff>
      <xdr:row>7</xdr:row>
      <xdr:rowOff>19050</xdr:rowOff>
    </xdr:from>
    <xdr:to>
      <xdr:col>9</xdr:col>
      <xdr:colOff>0</xdr:colOff>
      <xdr:row>7</xdr:row>
      <xdr:rowOff>95250</xdr:rowOff>
    </xdr:to>
    <xdr:sp macro="" textlink="">
      <xdr:nvSpPr>
        <xdr:cNvPr id="4" name="Rectangle 3">
          <a:extLst>
            <a:ext uri="{FF2B5EF4-FFF2-40B4-BE49-F238E27FC236}">
              <a16:creationId xmlns="" xmlns:a16="http://schemas.microsoft.com/office/drawing/2014/main" id="{00000000-0008-0000-0400-000004000000}"/>
            </a:ext>
          </a:extLst>
        </xdr:cNvPr>
        <xdr:cNvSpPr/>
      </xdr:nvSpPr>
      <xdr:spPr>
        <a:xfrm>
          <a:off x="6572250" y="1200150"/>
          <a:ext cx="266700" cy="762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895349</xdr:colOff>
      <xdr:row>6</xdr:row>
      <xdr:rowOff>114300</xdr:rowOff>
    </xdr:from>
    <xdr:to>
      <xdr:col>12</xdr:col>
      <xdr:colOff>142874</xdr:colOff>
      <xdr:row>6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SpPr/>
      </xdr:nvSpPr>
      <xdr:spPr>
        <a:xfrm>
          <a:off x="6572249" y="1104900"/>
          <a:ext cx="2667000" cy="666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0</xdr:colOff>
      <xdr:row>7</xdr:row>
      <xdr:rowOff>0</xdr:rowOff>
    </xdr:from>
    <xdr:to>
      <xdr:col>12</xdr:col>
      <xdr:colOff>152400</xdr:colOff>
      <xdr:row>7</xdr:row>
      <xdr:rowOff>76200</xdr:rowOff>
    </xdr:to>
    <xdr:sp macro="" textlink="">
      <xdr:nvSpPr>
        <xdr:cNvPr id="3" name="Rectangle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SpPr/>
      </xdr:nvSpPr>
      <xdr:spPr>
        <a:xfrm>
          <a:off x="9096375" y="1181100"/>
          <a:ext cx="152400" cy="762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895350</xdr:colOff>
      <xdr:row>7</xdr:row>
      <xdr:rowOff>19050</xdr:rowOff>
    </xdr:from>
    <xdr:to>
      <xdr:col>9</xdr:col>
      <xdr:colOff>0</xdr:colOff>
      <xdr:row>7</xdr:row>
      <xdr:rowOff>95250</xdr:rowOff>
    </xdr:to>
    <xdr:sp macro="" textlink="">
      <xdr:nvSpPr>
        <xdr:cNvPr id="4" name="Rectangle 3">
          <a:extLst>
            <a:ext uri="{FF2B5EF4-FFF2-40B4-BE49-F238E27FC236}">
              <a16:creationId xmlns="" xmlns:a16="http://schemas.microsoft.com/office/drawing/2014/main" id="{00000000-0008-0000-0400-000004000000}"/>
            </a:ext>
          </a:extLst>
        </xdr:cNvPr>
        <xdr:cNvSpPr/>
      </xdr:nvSpPr>
      <xdr:spPr>
        <a:xfrm>
          <a:off x="6572250" y="1200150"/>
          <a:ext cx="266700" cy="762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895349</xdr:colOff>
      <xdr:row>6</xdr:row>
      <xdr:rowOff>114300</xdr:rowOff>
    </xdr:from>
    <xdr:to>
      <xdr:col>12</xdr:col>
      <xdr:colOff>142874</xdr:colOff>
      <xdr:row>6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SpPr/>
      </xdr:nvSpPr>
      <xdr:spPr>
        <a:xfrm>
          <a:off x="6572249" y="1104900"/>
          <a:ext cx="2667000" cy="666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0</xdr:colOff>
      <xdr:row>7</xdr:row>
      <xdr:rowOff>0</xdr:rowOff>
    </xdr:from>
    <xdr:to>
      <xdr:col>12</xdr:col>
      <xdr:colOff>152400</xdr:colOff>
      <xdr:row>7</xdr:row>
      <xdr:rowOff>76200</xdr:rowOff>
    </xdr:to>
    <xdr:sp macro="" textlink="">
      <xdr:nvSpPr>
        <xdr:cNvPr id="3" name="Rectangle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SpPr/>
      </xdr:nvSpPr>
      <xdr:spPr>
        <a:xfrm>
          <a:off x="9096375" y="1181100"/>
          <a:ext cx="152400" cy="762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895350</xdr:colOff>
      <xdr:row>7</xdr:row>
      <xdr:rowOff>19050</xdr:rowOff>
    </xdr:from>
    <xdr:to>
      <xdr:col>9</xdr:col>
      <xdr:colOff>0</xdr:colOff>
      <xdr:row>7</xdr:row>
      <xdr:rowOff>95250</xdr:rowOff>
    </xdr:to>
    <xdr:sp macro="" textlink="">
      <xdr:nvSpPr>
        <xdr:cNvPr id="4" name="Rectangle 3">
          <a:extLst>
            <a:ext uri="{FF2B5EF4-FFF2-40B4-BE49-F238E27FC236}">
              <a16:creationId xmlns="" xmlns:a16="http://schemas.microsoft.com/office/drawing/2014/main" id="{00000000-0008-0000-0400-000004000000}"/>
            </a:ext>
          </a:extLst>
        </xdr:cNvPr>
        <xdr:cNvSpPr/>
      </xdr:nvSpPr>
      <xdr:spPr>
        <a:xfrm>
          <a:off x="6572250" y="1200150"/>
          <a:ext cx="266700" cy="762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895349</xdr:colOff>
      <xdr:row>6</xdr:row>
      <xdr:rowOff>114300</xdr:rowOff>
    </xdr:from>
    <xdr:to>
      <xdr:col>12</xdr:col>
      <xdr:colOff>142874</xdr:colOff>
      <xdr:row>6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SpPr/>
      </xdr:nvSpPr>
      <xdr:spPr>
        <a:xfrm>
          <a:off x="6572249" y="1104900"/>
          <a:ext cx="2667000" cy="666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0</xdr:colOff>
      <xdr:row>7</xdr:row>
      <xdr:rowOff>0</xdr:rowOff>
    </xdr:from>
    <xdr:to>
      <xdr:col>12</xdr:col>
      <xdr:colOff>152400</xdr:colOff>
      <xdr:row>7</xdr:row>
      <xdr:rowOff>76200</xdr:rowOff>
    </xdr:to>
    <xdr:sp macro="" textlink="">
      <xdr:nvSpPr>
        <xdr:cNvPr id="3" name="Rectangle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SpPr/>
      </xdr:nvSpPr>
      <xdr:spPr>
        <a:xfrm>
          <a:off x="9096375" y="1181100"/>
          <a:ext cx="152400" cy="762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895350</xdr:colOff>
      <xdr:row>7</xdr:row>
      <xdr:rowOff>19050</xdr:rowOff>
    </xdr:from>
    <xdr:to>
      <xdr:col>9</xdr:col>
      <xdr:colOff>0</xdr:colOff>
      <xdr:row>7</xdr:row>
      <xdr:rowOff>95250</xdr:rowOff>
    </xdr:to>
    <xdr:sp macro="" textlink="">
      <xdr:nvSpPr>
        <xdr:cNvPr id="4" name="Rectangle 3">
          <a:extLst>
            <a:ext uri="{FF2B5EF4-FFF2-40B4-BE49-F238E27FC236}">
              <a16:creationId xmlns="" xmlns:a16="http://schemas.microsoft.com/office/drawing/2014/main" id="{00000000-0008-0000-0400-000004000000}"/>
            </a:ext>
          </a:extLst>
        </xdr:cNvPr>
        <xdr:cNvSpPr/>
      </xdr:nvSpPr>
      <xdr:spPr>
        <a:xfrm>
          <a:off x="6572250" y="1200150"/>
          <a:ext cx="266700" cy="762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URAJ\costing\2018\08_DEC\24_SHROFF%20INDIA%20%2027.12.2018%20ENQ%20711\R1.%2003.01.2019\R3%20PP%20FRP%20TANKS%2020.02.2019\COSTING%20PP-FRP%20TANKS%20R3%20_DT.%2021.01.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HAWAL\COSTING\2021\2-FEBRUARY\8-SNF%20,%2010.02.2021%20,%20ENQ%20-%20785\PB\ANNEXURE%20-%20FRP%20VESSEL%20PB_DTD.%2004.03.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VISH\COSTING\2018\06_JUNE\04_ENQ-0214_(O-170)_22.06.2018_FOSROC%20(SAROJA%20BEHARA)\REV%2003_COSTING%20&amp;%20ANNEXURE_PP%20FRP%20TANKS_DT%2010.07.2018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VISH\COSTING\2017\03_OCTOBER%202017\06_ENQ_496_(O-435)_12.10.2017_PRAJ%20INDUSTRIES%20LTD%20(NARESH%20KARNEY)\COSTING\01_REV%2000_FRBS%20TANKS_DTD%2013.10.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BEENA\COSTING\2019%20Costing\07_JULY%202019\02_CHEMSYS%20GROUP_FRP%20TANKS_ENQ.299_O_\ANNEXURE%20%20PP+FRP%20TANKS%20_09.07.2019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VISH\COSTING\2017\05_DECEMBER%202017\14_ENQ-464%20&amp;%20436_(O-388)08.12.2017_JSW%20PLTCM,ARP%2005,ARP%2006%20(RAHUL%20GARG)\01_REVISED%20FINAL%20OR%20&amp;%20OP%20COSTING%20-%2011.05.2018\FINAL%20FOR%20PO\NEW%20COSTING%20WITH-REV%2001-%20DT-01.09.2018%20(610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50CF6B0\NEW%20COSTING%20WITH-REV%2001-%20DT-01.09.2018%20(610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VISH\COSTING\2017\02_SEPTEMBER%202017\03_ENQ-427_(O-353)_06.09.2017_HIKAL%20(MAHESH%20KHEDKAR)\REV%2000_COSTING%20&amp;%20ANNEXURE_TANKS_DT.%2007.09.2017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VISH\COSTING\2017\02_SEPTEMBER%202017\03_ENQ-427_(O-353)_06.09.2017_HIKAL%20(MAHESH%20KHEDKAR)\REV%2000_COSTING%20&amp;%20ANNEXURE_TANKS_DT.%2007.09.2017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BEENA\2018%20Costing\01_Jan%202018\15_FOSROC%20CHEMICALS%20,%20ENQ.775,%20O_657%20(P.O)\FINAL-6_08.06.2018\5MM%20PP_COSTING%20&amp;%20ANNEXURE%20-%20PP+%20FRP%20TANKS%20%20%20DT.%2006.06.2018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VISH\COSTING\2017\04_NOVEMBER%202017\02_ENQ-542_(O-)_02.11.2017_UPL%20THROUGH%20SHROFF%20(PRAVINA%20VISHWASRAO)\ANNEXURE%20&amp;%20COSTING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VISH\COSTING\2017\01_AUGUST%202017\17_ENQ-367_(O-315)_19.08.2017_Aditya%20Birla%20(Prexa%20Shah)\RS%20FINAL_COSTING%20&amp;%20ANNEXURE\01_REV%200_FRP%20TANK_DT.%2019.08.2017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VISH\COSTING\2017\01_AUGUST%202017\17_ENQ-367_(O-315)_19.08.2017_Aditya%20Birla%20(Prexa%20Shah)\RS%20FINAL_COSTING%20&amp;%20ANNEXURE\01_REV%200_FRP%20TANK_DT.%2019.08.2017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VISH\COSTING\2017\01_AUGUST%202017\17_ENQ-367_(O-315)_19.08.2017_Aditya%20Birla%20(Prexa%20Shah)\RS%20FINAL_COSTING%20&amp;%20ANNEXURE\01_REV%200_FRP%20TANK_DT.%2019.08.20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EXURE PB"/>
      <sheetName val="INT SUMMARY"/>
      <sheetName val="ANN"/>
      <sheetName val="SUMMARY"/>
      <sheetName val="Sheet1"/>
      <sheetName val="ANNEXURE TB"/>
      <sheetName val="1_5 KL PP FRP TANK"/>
      <sheetName val="2_8 KL PP FRP TANK"/>
      <sheetName val="2_8 KL PP FRP TANK (2)"/>
      <sheetName val="2_8 KL PVDF FRP TANK (3)"/>
      <sheetName val="3_24 KL PP FRP TANK"/>
      <sheetName val="3_24 KL PVDF FRP TANK (2)"/>
      <sheetName val="4_12 KL PVDF FRP TANK"/>
      <sheetName val="4_12 KL PP FRP TANK"/>
      <sheetName val="5_16 KL PP FRP TANK"/>
      <sheetName val="6_85 KL FRP TANK"/>
      <sheetName val="HORIZONTAL 10KL PVDF FRP TANK"/>
    </sheetNames>
    <sheetDataSet>
      <sheetData sheetId="0"/>
      <sheetData sheetId="1"/>
      <sheetData sheetId="2"/>
      <sheetData sheetId="3"/>
      <sheetData sheetId="4"/>
      <sheetData sheetId="5"/>
      <sheetData sheetId="6">
        <row r="9">
          <cell r="C9">
            <v>15</v>
          </cell>
        </row>
        <row r="11">
          <cell r="C11">
            <v>0.44000000000000006</v>
          </cell>
        </row>
        <row r="12">
          <cell r="C12">
            <v>0.44000000000000006</v>
          </cell>
        </row>
        <row r="13">
          <cell r="C13">
            <v>0.44000000000000006</v>
          </cell>
        </row>
        <row r="14">
          <cell r="C14">
            <v>0.44000000000000006</v>
          </cell>
        </row>
        <row r="15">
          <cell r="C15">
            <v>0.44000000000000006</v>
          </cell>
        </row>
        <row r="34">
          <cell r="Q34" t="str">
            <v>N001</v>
          </cell>
          <cell r="AD34">
            <v>0</v>
          </cell>
          <cell r="AE34">
            <v>0</v>
          </cell>
        </row>
        <row r="35">
          <cell r="Q35" t="str">
            <v>N015</v>
          </cell>
          <cell r="AD35">
            <v>2.2058166941154068E-2</v>
          </cell>
          <cell r="AE35">
            <v>0.1078760085389663</v>
          </cell>
        </row>
        <row r="36">
          <cell r="Q36" t="str">
            <v>N020</v>
          </cell>
          <cell r="AD36">
            <v>2.845355592153876E-2</v>
          </cell>
          <cell r="AE36">
            <v>0.13386954615476826</v>
          </cell>
        </row>
        <row r="37">
          <cell r="Q37" t="str">
            <v>N025</v>
          </cell>
          <cell r="AD37">
            <v>3.5225944901923448E-2</v>
          </cell>
          <cell r="AE37">
            <v>0.16294498616374178</v>
          </cell>
        </row>
        <row r="38">
          <cell r="Q38" t="str">
            <v>N040</v>
          </cell>
          <cell r="AD38">
            <v>5.3828111843077522E-2</v>
          </cell>
          <cell r="AE38">
            <v>0.23118037859971211</v>
          </cell>
        </row>
        <row r="39">
          <cell r="Q39" t="str">
            <v>N050</v>
          </cell>
          <cell r="AD39">
            <v>7.0227889803846894E-2</v>
          </cell>
          <cell r="AE39">
            <v>0.33555979451523293</v>
          </cell>
        </row>
        <row r="40">
          <cell r="Q40" t="str">
            <v>N065</v>
          </cell>
          <cell r="AD40">
            <v>9.2945056745000962E-2</v>
          </cell>
          <cell r="AE40">
            <v>0.50727689276596077</v>
          </cell>
        </row>
        <row r="41">
          <cell r="Q41" t="str">
            <v>N080</v>
          </cell>
          <cell r="AD41">
            <v>0.11187922368615504</v>
          </cell>
          <cell r="AE41">
            <v>0.5805781033558447</v>
          </cell>
        </row>
        <row r="42">
          <cell r="Q42" t="str">
            <v>N100</v>
          </cell>
          <cell r="AD42">
            <v>0.14668877960769378</v>
          </cell>
          <cell r="AE42">
            <v>0.8298634804181948</v>
          </cell>
        </row>
        <row r="43">
          <cell r="Q43" t="str">
            <v>N125</v>
          </cell>
          <cell r="AD43">
            <v>0.18232572450961726</v>
          </cell>
          <cell r="AE43">
            <v>0.98831755988363013</v>
          </cell>
        </row>
        <row r="44">
          <cell r="Q44" t="str">
            <v>N150</v>
          </cell>
          <cell r="AD44">
            <v>0.21921266941154072</v>
          </cell>
          <cell r="AE44">
            <v>1.3640952381519564</v>
          </cell>
        </row>
        <row r="45">
          <cell r="Q45" t="str">
            <v>N200</v>
          </cell>
          <cell r="AD45">
            <v>0.29739555921538757</v>
          </cell>
          <cell r="AE45">
            <v>1.7420131264155403</v>
          </cell>
        </row>
        <row r="46">
          <cell r="Q46" t="str">
            <v>N250</v>
          </cell>
          <cell r="AD46">
            <v>0.38001944901923446</v>
          </cell>
          <cell r="AE46">
            <v>2.2289599877219581</v>
          </cell>
        </row>
        <row r="47">
          <cell r="Q47" t="str">
            <v>N300</v>
          </cell>
          <cell r="AD47">
            <v>0.4676433388230814</v>
          </cell>
          <cell r="AE47">
            <v>2.6216590694206823</v>
          </cell>
        </row>
        <row r="48">
          <cell r="Q48" t="str">
            <v>N350</v>
          </cell>
          <cell r="AD48">
            <v>0.56026722862692824</v>
          </cell>
          <cell r="AE48">
            <v>3.4380804602723298</v>
          </cell>
        </row>
        <row r="49">
          <cell r="Q49" t="str">
            <v>N400</v>
          </cell>
          <cell r="AD49">
            <v>0.65789111843077519</v>
          </cell>
          <cell r="AE49">
            <v>4.0703259818072759</v>
          </cell>
        </row>
        <row r="50">
          <cell r="Q50" t="str">
            <v>N450</v>
          </cell>
          <cell r="AD50">
            <v>0.76051500823462204</v>
          </cell>
          <cell r="AE50">
            <v>4.5376378890287565</v>
          </cell>
        </row>
        <row r="51">
          <cell r="Q51" t="str">
            <v>N500</v>
          </cell>
          <cell r="AD51">
            <v>0.868138898038469</v>
          </cell>
          <cell r="AE51">
            <v>5.2356997766564106</v>
          </cell>
        </row>
        <row r="52">
          <cell r="Q52" t="str">
            <v>N600</v>
          </cell>
          <cell r="AD52">
            <v>1.0983866776461628</v>
          </cell>
          <cell r="AE52">
            <v>6.6185503229502949</v>
          </cell>
        </row>
        <row r="55">
          <cell r="Q55" t="str">
            <v>B001</v>
          </cell>
          <cell r="U55">
            <v>0</v>
          </cell>
          <cell r="V55">
            <v>4</v>
          </cell>
          <cell r="W55">
            <v>12</v>
          </cell>
        </row>
        <row r="56">
          <cell r="Q56" t="str">
            <v>B015</v>
          </cell>
          <cell r="U56">
            <v>6.221138852271187E-3</v>
          </cell>
          <cell r="V56">
            <v>4</v>
          </cell>
          <cell r="W56">
            <v>12</v>
          </cell>
        </row>
        <row r="57">
          <cell r="Q57" t="str">
            <v>B020</v>
          </cell>
          <cell r="U57">
            <v>7.5429639612690945E-3</v>
          </cell>
          <cell r="V57">
            <v>4</v>
          </cell>
          <cell r="W57">
            <v>12</v>
          </cell>
        </row>
        <row r="58">
          <cell r="Q58" t="str">
            <v>B025</v>
          </cell>
          <cell r="U58">
            <v>9.1608841778678361E-3</v>
          </cell>
          <cell r="V58">
            <v>4</v>
          </cell>
          <cell r="W58">
            <v>12</v>
          </cell>
        </row>
        <row r="59">
          <cell r="Q59" t="str">
            <v>B040</v>
          </cell>
          <cell r="U59">
            <v>1.2667686977437444E-2</v>
          </cell>
          <cell r="V59">
            <v>4</v>
          </cell>
          <cell r="W59">
            <v>12</v>
          </cell>
        </row>
        <row r="60">
          <cell r="Q60" t="str">
            <v>B050</v>
          </cell>
          <cell r="U60">
            <v>1.8145839167134643E-2</v>
          </cell>
          <cell r="V60">
            <v>4</v>
          </cell>
          <cell r="W60">
            <v>12</v>
          </cell>
        </row>
        <row r="61">
          <cell r="Q61" t="str">
            <v>B065</v>
          </cell>
          <cell r="U61">
            <v>2.4884555409084748E-2</v>
          </cell>
          <cell r="V61">
            <v>4</v>
          </cell>
          <cell r="W61">
            <v>15</v>
          </cell>
        </row>
        <row r="62">
          <cell r="Q62" t="str">
            <v>B080</v>
          </cell>
          <cell r="U62">
            <v>2.8652110398902312E-2</v>
          </cell>
          <cell r="V62">
            <v>4</v>
          </cell>
          <cell r="W62">
            <v>15</v>
          </cell>
        </row>
        <row r="63">
          <cell r="Q63" t="str">
            <v>B100</v>
          </cell>
          <cell r="U63">
            <v>4.1187065086725587E-2</v>
          </cell>
          <cell r="V63">
            <v>4</v>
          </cell>
          <cell r="W63">
            <v>15</v>
          </cell>
        </row>
        <row r="64">
          <cell r="Q64" t="str">
            <v>B125</v>
          </cell>
          <cell r="U64">
            <v>5.0670747909749778E-2</v>
          </cell>
          <cell r="V64">
            <v>4</v>
          </cell>
          <cell r="W64">
            <v>15</v>
          </cell>
        </row>
        <row r="65">
          <cell r="Q65" t="str">
            <v>B150</v>
          </cell>
          <cell r="U65">
            <v>6.1136178437020787E-2</v>
          </cell>
          <cell r="V65">
            <v>4</v>
          </cell>
          <cell r="W65">
            <v>20</v>
          </cell>
        </row>
        <row r="66">
          <cell r="Q66" t="str">
            <v>B200</v>
          </cell>
          <cell r="U66">
            <v>8.5529859993982132E-2</v>
          </cell>
          <cell r="V66">
            <v>4</v>
          </cell>
          <cell r="W66">
            <v>20</v>
          </cell>
        </row>
        <row r="67">
          <cell r="Q67" t="str">
            <v>B250</v>
          </cell>
          <cell r="U67">
            <v>0.11341149479459153</v>
          </cell>
          <cell r="V67">
            <v>4</v>
          </cell>
          <cell r="W67">
            <v>20</v>
          </cell>
        </row>
        <row r="68">
          <cell r="Q68" t="str">
            <v>B300</v>
          </cell>
          <cell r="U68">
            <v>0.14522012041218818</v>
          </cell>
          <cell r="V68">
            <v>4</v>
          </cell>
          <cell r="W68">
            <v>20</v>
          </cell>
        </row>
        <row r="69">
          <cell r="Q69" t="str">
            <v>B350</v>
          </cell>
          <cell r="U69">
            <v>0.18095573684677208</v>
          </cell>
          <cell r="V69">
            <v>4</v>
          </cell>
          <cell r="W69">
            <v>25</v>
          </cell>
        </row>
        <row r="70">
          <cell r="Q70" t="str">
            <v>B400</v>
          </cell>
          <cell r="U70">
            <v>0.22061834409834324</v>
          </cell>
          <cell r="V70">
            <v>4</v>
          </cell>
          <cell r="W70">
            <v>25</v>
          </cell>
        </row>
        <row r="71">
          <cell r="Q71" t="str">
            <v>B450</v>
          </cell>
          <cell r="U71">
            <v>0.26420794216690158</v>
          </cell>
          <cell r="V71">
            <v>4</v>
          </cell>
          <cell r="W71">
            <v>25</v>
          </cell>
        </row>
        <row r="72">
          <cell r="Q72" t="str">
            <v>B500</v>
          </cell>
          <cell r="U72">
            <v>0.31172453105244724</v>
          </cell>
          <cell r="V72">
            <v>4</v>
          </cell>
          <cell r="W72">
            <v>27</v>
          </cell>
        </row>
        <row r="73">
          <cell r="Q73" t="str">
            <v>B600</v>
          </cell>
          <cell r="U73">
            <v>0.41853868127450011</v>
          </cell>
          <cell r="V73">
            <v>4</v>
          </cell>
          <cell r="W73">
            <v>30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B"/>
      <sheetName val="TB R1"/>
      <sheetName val="TB"/>
      <sheetName val="35 KL-COMBI"/>
      <sheetName val="25 KL-COMBI"/>
      <sheetName val="35 KL"/>
      <sheetName val="25 KL"/>
      <sheetName val="PCS WITH INBUILT TA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3">
          <cell r="E13">
            <v>1.6</v>
          </cell>
        </row>
        <row r="14">
          <cell r="E14">
            <v>1.7</v>
          </cell>
        </row>
        <row r="15">
          <cell r="E15">
            <v>25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ANNEXURE"/>
      <sheetName val="01"/>
      <sheetName val="02"/>
      <sheetName val="03"/>
      <sheetName val="04"/>
      <sheetName val="05"/>
      <sheetName val="06"/>
      <sheetName val="07"/>
      <sheetName val="08"/>
      <sheetName val="09"/>
      <sheetName val="TRANSPORT RATES"/>
    </sheetNames>
    <sheetDataSet>
      <sheetData sheetId="0"/>
      <sheetData sheetId="1">
        <row r="10">
          <cell r="B10" t="str">
            <v xml:space="preserve">3600 mm ID X 8850 mm VERTICAL SHELL HT </v>
          </cell>
        </row>
      </sheetData>
      <sheetData sheetId="2">
        <row r="6">
          <cell r="C6" t="str">
            <v>R5903063</v>
          </cell>
        </row>
        <row r="10">
          <cell r="C10">
            <v>0</v>
          </cell>
        </row>
      </sheetData>
      <sheetData sheetId="3">
        <row r="5">
          <cell r="C5" t="str">
            <v>POLYCARBOLIC ACIS SALT TYPE SURFACTANT</v>
          </cell>
        </row>
      </sheetData>
      <sheetData sheetId="4">
        <row r="5">
          <cell r="C5" t="str">
            <v>POLYCARBOLIC ACIS SALT TYPE SURFACTANT</v>
          </cell>
        </row>
      </sheetData>
      <sheetData sheetId="5">
        <row r="5">
          <cell r="C5" t="str">
            <v>POLYCARBOXYLIC ACID SALT TYPE SURFACTANT</v>
          </cell>
        </row>
      </sheetData>
      <sheetData sheetId="6">
        <row r="5">
          <cell r="C5" t="str">
            <v>POLYCARBOXTLATE ETHER (SYNTHETIC)</v>
          </cell>
        </row>
      </sheetData>
      <sheetData sheetId="7">
        <row r="5">
          <cell r="C5" t="str">
            <v>POLYCARBOXYLIC ETHER SOLUTION</v>
          </cell>
        </row>
      </sheetData>
      <sheetData sheetId="8">
        <row r="5">
          <cell r="C5" t="str">
            <v>POLYCARBOXYLIC ETHER SOLUTION</v>
          </cell>
        </row>
      </sheetData>
      <sheetData sheetId="9">
        <row r="5">
          <cell r="C5" t="str">
            <v>FG</v>
          </cell>
        </row>
      </sheetData>
      <sheetData sheetId="10">
        <row r="5">
          <cell r="C5" t="str">
            <v>FG</v>
          </cell>
        </row>
      </sheetData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EXUR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ANNEXURE (2)"/>
      <sheetName val="Sheet2"/>
    </sheetNames>
    <sheetDataSet>
      <sheetData sheetId="0" refreshError="1"/>
      <sheetData sheetId="1">
        <row r="7">
          <cell r="C7">
            <v>4</v>
          </cell>
        </row>
        <row r="11">
          <cell r="C11">
            <v>0.86</v>
          </cell>
        </row>
        <row r="13">
          <cell r="C13">
            <v>0.86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_5 KL"/>
      <sheetName val="02_"/>
      <sheetName val="03_0.05 KL"/>
      <sheetName val="04_SCR"/>
    </sheetNames>
    <sheetDataSet>
      <sheetData sheetId="0" refreshError="1"/>
      <sheetData sheetId="1"/>
      <sheetData sheetId="2" refreshError="1"/>
      <sheetData sheetId="3">
        <row r="7">
          <cell r="K7">
            <v>1000</v>
          </cell>
        </row>
        <row r="11">
          <cell r="K11">
            <v>3800</v>
          </cell>
        </row>
        <row r="14">
          <cell r="K14">
            <v>350</v>
          </cell>
        </row>
        <row r="16">
          <cell r="K16">
            <v>750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RESIN QTY"/>
      <sheetName val="OP-PLTCM-1"/>
      <sheetName val="OP-PLTCM-2,3"/>
      <sheetName val="OP-PLTCM-4"/>
      <sheetName val="OP- ARP_05-1 &amp; 3 (LAYUP)"/>
      <sheetName val="OP- ARP_05-1 &amp; 3"/>
      <sheetName val="OP-ARP_05-2"/>
      <sheetName val="OP-ARP_05-4"/>
      <sheetName val="OP-ARP_06-1 &amp; 4"/>
      <sheetName val="OP- ARP_06-2 &amp; 3"/>
      <sheetName val="OP-ARP_06-5"/>
      <sheetName val="OP-NEW-ARP_06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1">
          <cell r="T11">
            <v>0.9</v>
          </cell>
        </row>
        <row r="12">
          <cell r="T12">
            <v>0.8</v>
          </cell>
        </row>
        <row r="13">
          <cell r="T13">
            <v>0.3</v>
          </cell>
        </row>
        <row r="14">
          <cell r="T14">
            <v>0.6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RESIN QTY"/>
      <sheetName val="OP-PLTCM-1"/>
      <sheetName val="OP-PLTCM-2,3"/>
      <sheetName val="OP-PLTCM-4"/>
      <sheetName val="OP- ARP_05-1 &amp; 3 (LAYUP)"/>
      <sheetName val="OP- ARP_05-1 &amp; 3"/>
      <sheetName val="OP-ARP_05-2"/>
      <sheetName val="OP-ARP_05-4"/>
      <sheetName val="OP-ARP_06-1 &amp; 4"/>
      <sheetName val="OP- ARP_06-2 &amp; 3"/>
      <sheetName val="OP-ARP_06-5"/>
      <sheetName val="OP-NEW-ARP_06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1">
          <cell r="T11">
            <v>0.9</v>
          </cell>
        </row>
        <row r="12">
          <cell r="T12">
            <v>0.8</v>
          </cell>
        </row>
        <row r="13">
          <cell r="T13">
            <v>0.3</v>
          </cell>
        </row>
        <row r="14">
          <cell r="T14">
            <v>0.6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EXURE"/>
      <sheetName val="ANNEXURE PB"/>
      <sheetName val="DMF STORAGE"/>
      <sheetName val="MLR"/>
      <sheetName val="DMF COLLECTION"/>
      <sheetName val="ANNEXURE R1"/>
    </sheetNames>
    <sheetDataSet>
      <sheetData sheetId="0"/>
      <sheetData sheetId="1"/>
      <sheetData sheetId="2">
        <row r="7">
          <cell r="C7">
            <v>2</v>
          </cell>
        </row>
      </sheetData>
      <sheetData sheetId="3">
        <row r="9">
          <cell r="C9">
            <v>2.2600000000000002</v>
          </cell>
        </row>
      </sheetData>
      <sheetData sheetId="4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EXURE"/>
      <sheetName val="ANNEXURE PB"/>
      <sheetName val="DMF STORAGE"/>
      <sheetName val="MLR"/>
      <sheetName val="DMF COLLECTION"/>
      <sheetName val="ANNEXURE R1"/>
    </sheetNames>
    <sheetDataSet>
      <sheetData sheetId="0" refreshError="1"/>
      <sheetData sheetId="1" refreshError="1"/>
      <sheetData sheetId="2">
        <row r="7">
          <cell r="C7">
            <v>2</v>
          </cell>
        </row>
      </sheetData>
      <sheetData sheetId="3">
        <row r="9">
          <cell r="C9">
            <v>2.2600000000000002</v>
          </cell>
        </row>
      </sheetData>
      <sheetData sheetId="4" refreshError="1"/>
      <sheetData sheetId="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EXURE"/>
      <sheetName val="SUMMARY"/>
      <sheetName val="01-60 KL"/>
      <sheetName val="02-60 KL"/>
      <sheetName val="03-40 KL"/>
      <sheetName val="04-30 KL"/>
      <sheetName val="05-30 KL"/>
      <sheetName val="06-30 KL"/>
      <sheetName val="07-25 KL"/>
      <sheetName val="08-50 KL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EXURE"/>
      <sheetName val="HORIZONTAL - DISH ENDS"/>
      <sheetName val="HORIZONTAL - FLAT ENDS"/>
    </sheetNames>
    <sheetDataSet>
      <sheetData sheetId="0"/>
      <sheetData sheetId="1">
        <row r="10">
          <cell r="C10">
            <v>0.3</v>
          </cell>
        </row>
        <row r="11">
          <cell r="C11">
            <v>0.3</v>
          </cell>
        </row>
        <row r="12">
          <cell r="C12">
            <v>0.3</v>
          </cell>
        </row>
      </sheetData>
      <sheetData sheetId="2">
        <row r="105">
          <cell r="I105">
            <v>194500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EXURE-FRV TANKS"/>
      <sheetName val="SUMMARY"/>
      <sheetName val="01_5 m3 FRP TANK"/>
      <sheetName val="02_SPINBATH BOTTOM TANK"/>
      <sheetName val="03_FRP TANK"/>
      <sheetName val="04_SPINBATH HOLDUP TANK"/>
      <sheetName val="05_MOTHER LIQUOR TANK"/>
      <sheetName val="06_SPIN BATH STORAGE TANK"/>
      <sheetName val="07_SPINBATH TOP TANK"/>
      <sheetName val="08_5 m3 FRP TANK"/>
      <sheetName val="09_ZINC ADD TANK"/>
      <sheetName val="10_ZnSO4 PREPERATION TANK"/>
    </sheetNames>
    <sheetDataSet>
      <sheetData sheetId="0"/>
      <sheetData sheetId="1"/>
      <sheetData sheetId="2">
        <row r="7">
          <cell r="C7">
            <v>1.7</v>
          </cell>
        </row>
      </sheetData>
      <sheetData sheetId="3">
        <row r="15">
          <cell r="D15">
            <v>600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EXURE-FRV TANKS"/>
      <sheetName val="SUMMARY"/>
      <sheetName val="01_5 m3 FRP TANK"/>
      <sheetName val="02_SPINBATH BOTTOM TANK"/>
      <sheetName val="03_FRP TANK"/>
      <sheetName val="04_SPINBATH HOLDUP TANK"/>
      <sheetName val="05_MOTHER LIQUOR TANK"/>
      <sheetName val="06_SPIN BATH STORAGE TANK"/>
      <sheetName val="07_SPINBATH TOP TANK"/>
      <sheetName val="08_5 m3 FRP TANK"/>
      <sheetName val="09_ZINC ADD TANK"/>
      <sheetName val="10_ZnSO4 PREPERATION TANK"/>
    </sheetNames>
    <sheetDataSet>
      <sheetData sheetId="0"/>
      <sheetData sheetId="1"/>
      <sheetData sheetId="2">
        <row r="7">
          <cell r="C7">
            <v>1.7</v>
          </cell>
        </row>
      </sheetData>
      <sheetData sheetId="3">
        <row r="15">
          <cell r="D15">
            <v>600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EXURE-FRV TANKS"/>
      <sheetName val="SUMMARY"/>
      <sheetName val="01_5 m3 FRP TANK"/>
      <sheetName val="02_SPINBATH BOTTOM TANK"/>
      <sheetName val="03_FRP TANK"/>
      <sheetName val="04_SPINBATH HOLDUP TANK"/>
      <sheetName val="05_MOTHER LIQUOR TANK"/>
      <sheetName val="06_SPIN BATH STORAGE TANK"/>
      <sheetName val="07_SPINBATH TOP TANK"/>
      <sheetName val="08_5 m3 FRP TANK"/>
      <sheetName val="09_ZINC ADD TANK"/>
      <sheetName val="10_ZnSO4 PREPERATION TANK"/>
    </sheetNames>
    <sheetDataSet>
      <sheetData sheetId="0" refreshError="1"/>
      <sheetData sheetId="1" refreshError="1"/>
      <sheetData sheetId="2">
        <row r="7">
          <cell r="C7">
            <v>1.7</v>
          </cell>
        </row>
      </sheetData>
      <sheetData sheetId="3">
        <row r="15">
          <cell r="D15">
            <v>600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20"/>
  <sheetViews>
    <sheetView view="pageBreakPreview" zoomScaleNormal="100" zoomScaleSheetLayoutView="100" workbookViewId="0">
      <selection activeCell="A3" sqref="A3:M3"/>
    </sheetView>
  </sheetViews>
  <sheetFormatPr defaultRowHeight="15" x14ac:dyDescent="0.25"/>
  <cols>
    <col min="1" max="1" width="4.42578125" bestFit="1" customWidth="1"/>
    <col min="2" max="2" width="18.7109375" customWidth="1"/>
    <col min="5" max="5" width="6.5703125" customWidth="1"/>
    <col min="6" max="6" width="13.85546875" customWidth="1"/>
    <col min="7" max="7" width="11.140625" customWidth="1"/>
    <col min="8" max="8" width="13.85546875" customWidth="1"/>
    <col min="9" max="9" width="17" bestFit="1" customWidth="1"/>
    <col min="10" max="10" width="13" bestFit="1" customWidth="1"/>
    <col min="11" max="11" width="15.28515625" bestFit="1" customWidth="1"/>
    <col min="12" max="12" width="8.42578125" bestFit="1" customWidth="1"/>
    <col min="13" max="13" width="12.28515625" customWidth="1"/>
    <col min="14" max="14" width="14" customWidth="1"/>
  </cols>
  <sheetData>
    <row r="2" spans="1:15" ht="21" x14ac:dyDescent="0.25">
      <c r="N2" s="417">
        <v>44554</v>
      </c>
      <c r="O2" s="418" t="s">
        <v>320</v>
      </c>
    </row>
    <row r="3" spans="1:15" ht="21" x14ac:dyDescent="0.25">
      <c r="A3" s="420" t="s">
        <v>276</v>
      </c>
      <c r="B3" s="421"/>
      <c r="C3" s="421"/>
      <c r="D3" s="421"/>
      <c r="E3" s="421"/>
      <c r="F3" s="421"/>
      <c r="G3" s="421"/>
      <c r="H3" s="421"/>
      <c r="I3" s="421"/>
      <c r="J3" s="421"/>
      <c r="K3" s="421"/>
      <c r="L3" s="421"/>
      <c r="M3" s="422"/>
      <c r="N3" s="417">
        <v>44551</v>
      </c>
      <c r="O3" s="418" t="s">
        <v>320</v>
      </c>
    </row>
    <row r="4" spans="1:15" ht="15.75" x14ac:dyDescent="0.25">
      <c r="A4" s="252"/>
      <c r="B4" s="253"/>
      <c r="C4" s="253"/>
      <c r="D4" s="253"/>
      <c r="E4" s="253"/>
      <c r="F4" s="253"/>
      <c r="G4" s="253"/>
      <c r="H4" s="253"/>
      <c r="I4" s="253"/>
      <c r="J4" s="253"/>
      <c r="N4" s="423" t="s">
        <v>308</v>
      </c>
      <c r="O4" s="423"/>
    </row>
    <row r="5" spans="1:15" ht="15.75" customHeight="1" x14ac:dyDescent="0.25">
      <c r="A5" s="252"/>
      <c r="B5" s="253"/>
      <c r="C5" s="253"/>
      <c r="D5" s="253"/>
      <c r="E5" s="253"/>
      <c r="F5" s="253"/>
      <c r="G5" s="253"/>
      <c r="H5" s="253"/>
      <c r="I5" s="253"/>
      <c r="J5" s="419" t="s">
        <v>344</v>
      </c>
      <c r="K5" s="419"/>
      <c r="L5" s="419"/>
      <c r="M5" s="419" t="s">
        <v>345</v>
      </c>
      <c r="N5" s="419"/>
      <c r="O5" s="419"/>
    </row>
    <row r="6" spans="1:15" ht="30" x14ac:dyDescent="0.25">
      <c r="A6" s="254" t="s">
        <v>213</v>
      </c>
      <c r="B6" s="255" t="s">
        <v>214</v>
      </c>
      <c r="C6" s="255" t="s">
        <v>215</v>
      </c>
      <c r="D6" s="255" t="s">
        <v>216</v>
      </c>
      <c r="E6" s="255" t="s">
        <v>154</v>
      </c>
      <c r="F6" s="255" t="s">
        <v>217</v>
      </c>
      <c r="G6" s="346" t="s">
        <v>309</v>
      </c>
      <c r="H6" s="254" t="s">
        <v>218</v>
      </c>
      <c r="I6" s="254" t="s">
        <v>219</v>
      </c>
      <c r="J6" s="254" t="s">
        <v>220</v>
      </c>
      <c r="K6" s="254" t="s">
        <v>221</v>
      </c>
      <c r="L6" s="256" t="s">
        <v>222</v>
      </c>
      <c r="M6" s="254" t="s">
        <v>220</v>
      </c>
      <c r="N6" s="254" t="s">
        <v>221</v>
      </c>
      <c r="O6" s="256" t="s">
        <v>222</v>
      </c>
    </row>
    <row r="7" spans="1:15" ht="38.25" customHeight="1" x14ac:dyDescent="0.25">
      <c r="A7" s="255">
        <v>1</v>
      </c>
      <c r="B7" s="257" t="s">
        <v>234</v>
      </c>
      <c r="C7" s="257" t="s">
        <v>236</v>
      </c>
      <c r="D7" s="258" t="s">
        <v>246</v>
      </c>
      <c r="E7" s="259">
        <v>2</v>
      </c>
      <c r="F7" s="398" t="s">
        <v>313</v>
      </c>
      <c r="G7" s="258" t="s">
        <v>310</v>
      </c>
      <c r="H7" s="260">
        <f>'01_1.35 KL'!G138</f>
        <v>90489.199999999983</v>
      </c>
      <c r="I7" s="260">
        <f>H7*E7</f>
        <v>180978.39999999997</v>
      </c>
      <c r="J7" s="260">
        <f>'01_1.35 KL'!I142</f>
        <v>203000</v>
      </c>
      <c r="K7" s="260">
        <f>J7*E7</f>
        <v>406000</v>
      </c>
      <c r="L7" s="261">
        <f>H7/J7</f>
        <v>0.44575960591132996</v>
      </c>
      <c r="M7" s="260">
        <f t="shared" ref="M7:M12" si="0">CEILING(J7*0.89,500)</f>
        <v>181000</v>
      </c>
      <c r="N7" s="260">
        <f t="shared" ref="N7:N12" si="1">M7*E7</f>
        <v>362000</v>
      </c>
      <c r="O7" s="261">
        <f>H7/M7</f>
        <v>0.49994033149171263</v>
      </c>
    </row>
    <row r="8" spans="1:15" ht="37.5" customHeight="1" x14ac:dyDescent="0.25">
      <c r="A8" s="255">
        <v>2</v>
      </c>
      <c r="B8" s="257" t="s">
        <v>239</v>
      </c>
      <c r="C8" s="257" t="s">
        <v>241</v>
      </c>
      <c r="D8" s="258" t="s">
        <v>247</v>
      </c>
      <c r="E8" s="399">
        <v>2</v>
      </c>
      <c r="F8" s="398" t="s">
        <v>313</v>
      </c>
      <c r="G8" s="258" t="s">
        <v>310</v>
      </c>
      <c r="H8" s="260">
        <f>'02 &amp; 04_0.02 KL'!G138</f>
        <v>17430.112860176989</v>
      </c>
      <c r="I8" s="260">
        <f t="shared" ref="I8:I12" si="2">H8*E8</f>
        <v>34860.225720353978</v>
      </c>
      <c r="J8" s="260">
        <f>'02 &amp; 04_0.02 KL'!I142</f>
        <v>46500</v>
      </c>
      <c r="K8" s="260">
        <f t="shared" ref="K8:K12" si="3">J8*E8</f>
        <v>93000</v>
      </c>
      <c r="L8" s="261">
        <f t="shared" ref="L8:L12" si="4">H8/J8</f>
        <v>0.37484113677799974</v>
      </c>
      <c r="M8" s="260">
        <f t="shared" si="0"/>
        <v>41500</v>
      </c>
      <c r="N8" s="260">
        <f t="shared" si="1"/>
        <v>83000</v>
      </c>
      <c r="O8" s="261">
        <f t="shared" ref="O8:O12" si="5">H8/M8</f>
        <v>0.42000271952233709</v>
      </c>
    </row>
    <row r="9" spans="1:15" ht="39" customHeight="1" x14ac:dyDescent="0.25">
      <c r="A9" s="255">
        <v>3</v>
      </c>
      <c r="B9" s="257" t="s">
        <v>237</v>
      </c>
      <c r="C9" s="257" t="s">
        <v>242</v>
      </c>
      <c r="D9" s="258" t="s">
        <v>248</v>
      </c>
      <c r="E9" s="259">
        <v>2</v>
      </c>
      <c r="F9" s="398" t="s">
        <v>313</v>
      </c>
      <c r="G9" s="258" t="s">
        <v>310</v>
      </c>
      <c r="H9" s="260">
        <f>'03_0.330 KL'!G138</f>
        <v>44924.7</v>
      </c>
      <c r="I9" s="260">
        <f t="shared" si="2"/>
        <v>89849.4</v>
      </c>
      <c r="J9" s="260">
        <f>'03_0.330 KL'!I142</f>
        <v>107000</v>
      </c>
      <c r="K9" s="260">
        <f t="shared" si="3"/>
        <v>214000</v>
      </c>
      <c r="L9" s="261">
        <f t="shared" si="4"/>
        <v>0.41985700934579434</v>
      </c>
      <c r="M9" s="260">
        <f t="shared" si="0"/>
        <v>95500</v>
      </c>
      <c r="N9" s="260">
        <f t="shared" si="1"/>
        <v>191000</v>
      </c>
      <c r="O9" s="261">
        <f t="shared" si="5"/>
        <v>0.4704157068062827</v>
      </c>
    </row>
    <row r="10" spans="1:15" ht="30" x14ac:dyDescent="0.25">
      <c r="A10" s="255">
        <v>4</v>
      </c>
      <c r="B10" s="257" t="s">
        <v>238</v>
      </c>
      <c r="C10" s="257" t="s">
        <v>241</v>
      </c>
      <c r="D10" s="258" t="s">
        <v>247</v>
      </c>
      <c r="E10" s="399">
        <v>2</v>
      </c>
      <c r="F10" s="398" t="s">
        <v>313</v>
      </c>
      <c r="G10" s="258" t="s">
        <v>310</v>
      </c>
      <c r="H10" s="260">
        <f>'02 &amp; 04_0.02 KL'!G138</f>
        <v>17430.112860176989</v>
      </c>
      <c r="I10" s="260">
        <f t="shared" si="2"/>
        <v>34860.225720353978</v>
      </c>
      <c r="J10" s="260">
        <f>'02 &amp; 04_0.02 KL'!I142</f>
        <v>46500</v>
      </c>
      <c r="K10" s="260">
        <f t="shared" si="3"/>
        <v>93000</v>
      </c>
      <c r="L10" s="261">
        <f t="shared" si="4"/>
        <v>0.37484113677799974</v>
      </c>
      <c r="M10" s="260">
        <f t="shared" si="0"/>
        <v>41500</v>
      </c>
      <c r="N10" s="260">
        <f t="shared" si="1"/>
        <v>83000</v>
      </c>
      <c r="O10" s="261">
        <f t="shared" si="5"/>
        <v>0.42000271952233709</v>
      </c>
    </row>
    <row r="11" spans="1:15" ht="39" customHeight="1" x14ac:dyDescent="0.25">
      <c r="A11" s="255">
        <v>5</v>
      </c>
      <c r="B11" s="257" t="s">
        <v>240</v>
      </c>
      <c r="C11" s="257" t="s">
        <v>244</v>
      </c>
      <c r="D11" s="258" t="s">
        <v>249</v>
      </c>
      <c r="E11" s="259">
        <v>2</v>
      </c>
      <c r="F11" s="398" t="s">
        <v>313</v>
      </c>
      <c r="G11" s="258" t="s">
        <v>311</v>
      </c>
      <c r="H11" s="260">
        <f>'05_0.942 KL'!G139</f>
        <v>78564.368141592917</v>
      </c>
      <c r="I11" s="260">
        <f t="shared" si="2"/>
        <v>157128.73628318583</v>
      </c>
      <c r="J11" s="260">
        <f>'05_0.942 KL'!I143</f>
        <v>186000</v>
      </c>
      <c r="K11" s="260">
        <f t="shared" si="3"/>
        <v>372000</v>
      </c>
      <c r="L11" s="261">
        <f t="shared" si="4"/>
        <v>0.42238907603006942</v>
      </c>
      <c r="M11" s="260">
        <f t="shared" si="0"/>
        <v>166000</v>
      </c>
      <c r="N11" s="260">
        <f t="shared" si="1"/>
        <v>332000</v>
      </c>
      <c r="O11" s="261">
        <f t="shared" si="5"/>
        <v>0.47327932615417417</v>
      </c>
    </row>
    <row r="12" spans="1:15" ht="45" x14ac:dyDescent="0.25">
      <c r="A12" s="255">
        <v>6</v>
      </c>
      <c r="B12" s="257" t="s">
        <v>243</v>
      </c>
      <c r="C12" s="257" t="s">
        <v>245</v>
      </c>
      <c r="D12" s="258" t="s">
        <v>248</v>
      </c>
      <c r="E12" s="259">
        <v>2</v>
      </c>
      <c r="F12" s="398" t="s">
        <v>313</v>
      </c>
      <c r="G12" s="258" t="s">
        <v>311</v>
      </c>
      <c r="H12" s="260">
        <f>'06_0.330 KL'!G139</f>
        <v>50982.0092920354</v>
      </c>
      <c r="I12" s="260">
        <f t="shared" si="2"/>
        <v>101964.0185840708</v>
      </c>
      <c r="J12" s="260">
        <f>'06_0.330 KL'!I143</f>
        <v>121000</v>
      </c>
      <c r="K12" s="260">
        <f t="shared" si="3"/>
        <v>242000</v>
      </c>
      <c r="L12" s="261">
        <f t="shared" si="4"/>
        <v>0.4213389197688876</v>
      </c>
      <c r="M12" s="260">
        <f t="shared" si="0"/>
        <v>108000</v>
      </c>
      <c r="N12" s="260">
        <f t="shared" si="1"/>
        <v>216000</v>
      </c>
      <c r="O12" s="261">
        <f t="shared" si="5"/>
        <v>0.47205564159292035</v>
      </c>
    </row>
    <row r="13" spans="1:15" ht="15.75" x14ac:dyDescent="0.25">
      <c r="A13" s="262"/>
      <c r="B13" s="262"/>
      <c r="C13" s="262"/>
      <c r="D13" s="263"/>
      <c r="E13" s="262"/>
      <c r="F13" s="262"/>
      <c r="G13" s="262"/>
      <c r="H13" s="264"/>
      <c r="I13" s="265">
        <f>SUM(I7:I12)</f>
        <v>599641.00630796456</v>
      </c>
      <c r="J13" s="266"/>
      <c r="K13" s="265">
        <f>SUM(K7:K12)</f>
        <v>1420000</v>
      </c>
      <c r="L13" s="267">
        <f>I13/K13</f>
        <v>0.42228239880842577</v>
      </c>
      <c r="M13" s="266"/>
      <c r="N13" s="265">
        <f>SUM(N7:N12)</f>
        <v>1267000</v>
      </c>
      <c r="O13" s="261">
        <f>I13/N13</f>
        <v>0.4732762480725845</v>
      </c>
    </row>
    <row r="14" spans="1:15" x14ac:dyDescent="0.25">
      <c r="L14" s="251"/>
    </row>
    <row r="15" spans="1:15" ht="15.75" x14ac:dyDescent="0.25">
      <c r="I15" s="424" t="s">
        <v>223</v>
      </c>
      <c r="J15" s="424"/>
      <c r="K15" s="268">
        <f>CEILING(K13*0.9,500)</f>
        <v>1278000</v>
      </c>
      <c r="L15" s="267">
        <f>I13/K15</f>
        <v>0.46920266534269528</v>
      </c>
    </row>
    <row r="16" spans="1:15" x14ac:dyDescent="0.25">
      <c r="B16" s="425" t="s">
        <v>224</v>
      </c>
      <c r="C16" s="425"/>
      <c r="D16" s="258" t="s">
        <v>154</v>
      </c>
      <c r="E16" s="255" t="s">
        <v>225</v>
      </c>
      <c r="F16" s="258" t="s">
        <v>226</v>
      </c>
      <c r="G16" s="359"/>
      <c r="L16" s="251"/>
    </row>
    <row r="17" spans="1:15" ht="30" x14ac:dyDescent="0.25">
      <c r="B17" s="254" t="s">
        <v>201</v>
      </c>
      <c r="C17" s="269"/>
      <c r="D17" s="312">
        <f>CEILING((E7*'01_1.35 KL'!D124)+(E8*'02 &amp; 04_0.02 KL'!D124)+(SUMMARY!E9*'03_0.330 KL'!D124)+(SUMMARY!E10*'02 &amp; 04_0.02 KL'!D124)+(SUMMARY!E11*'05_0.942 KL'!D125)+(SUMMARY!E12*'06_0.330 KL'!D125),10)</f>
        <v>1000</v>
      </c>
      <c r="E17" s="255" t="s">
        <v>87</v>
      </c>
      <c r="F17" s="255">
        <f>'RESIN RATE'!D6</f>
        <v>325</v>
      </c>
      <c r="G17" s="262"/>
      <c r="I17" s="271" t="s">
        <v>227</v>
      </c>
      <c r="J17" s="272" t="s">
        <v>332</v>
      </c>
      <c r="K17" s="265">
        <f>SUMMARY!J139*SUMMARY!E7+'02 &amp; 04_0.02 KL'!I139+'02 &amp; 04_0.02 KL'!I139+'03_0.330 KL'!I139+'03_0.330 KL'!I139+'05_0.942 KL'!I140*SUMMARY!E11</f>
        <v>57000</v>
      </c>
      <c r="L17" s="251"/>
    </row>
    <row r="18" spans="1:15" x14ac:dyDescent="0.25">
      <c r="B18" s="255"/>
      <c r="C18" s="255"/>
      <c r="D18" s="270"/>
      <c r="E18" s="255"/>
      <c r="F18" s="255"/>
      <c r="G18" s="262"/>
      <c r="I18" s="426"/>
      <c r="J18" s="426"/>
      <c r="K18" s="426"/>
      <c r="L18" s="251"/>
    </row>
    <row r="19" spans="1:15" ht="45" x14ac:dyDescent="0.25">
      <c r="A19" s="273"/>
      <c r="B19" s="274" t="s">
        <v>57</v>
      </c>
      <c r="C19" s="274"/>
      <c r="D19" s="275">
        <f>SUM(D17:D18)</f>
        <v>1000</v>
      </c>
      <c r="E19" s="255" t="s">
        <v>87</v>
      </c>
      <c r="F19" s="269"/>
      <c r="G19" s="360"/>
      <c r="H19" s="273"/>
      <c r="I19" s="271" t="s">
        <v>228</v>
      </c>
      <c r="J19" s="258"/>
      <c r="K19" s="271" t="s">
        <v>229</v>
      </c>
      <c r="L19" s="271" t="s">
        <v>222</v>
      </c>
      <c r="N19" s="271" t="s">
        <v>229</v>
      </c>
      <c r="O19" s="271" t="s">
        <v>222</v>
      </c>
    </row>
    <row r="20" spans="1:15" ht="15.75" x14ac:dyDescent="0.25">
      <c r="B20" s="413" t="s">
        <v>161</v>
      </c>
      <c r="C20" s="413"/>
      <c r="D20" s="414">
        <f>CEILING((E7*'01_1.35 KL'!D123)+(E8*'02 &amp; 04_0.02 KL'!D123)+(SUMMARY!E9*'03_0.330 KL'!D123)+(SUMMARY!E10*'02 &amp; 04_0.02 KL'!D123)+(SUMMARY!E11*'05_0.942 KL'!D124)+(SUMMARY!E12*'03_0.330 KL'!D123),1)</f>
        <v>92</v>
      </c>
      <c r="E20" s="415" t="s">
        <v>230</v>
      </c>
      <c r="F20" s="416"/>
      <c r="G20" s="262"/>
      <c r="I20" s="265">
        <f>I13</f>
        <v>599641.00630796456</v>
      </c>
      <c r="J20" s="265"/>
      <c r="K20" s="265">
        <f>K13*0.9-K17</f>
        <v>1221000</v>
      </c>
      <c r="L20" s="267">
        <f>I20/K20</f>
        <v>0.49110647527269824</v>
      </c>
      <c r="N20" s="265">
        <f>N13-K17</f>
        <v>1210000</v>
      </c>
      <c r="O20" s="267">
        <f>I20/N20</f>
        <v>0.49557107959335917</v>
      </c>
    </row>
  </sheetData>
  <mergeCells count="7">
    <mergeCell ref="I18:K18"/>
    <mergeCell ref="J5:L5"/>
    <mergeCell ref="M5:O5"/>
    <mergeCell ref="A3:M3"/>
    <mergeCell ref="N4:O4"/>
    <mergeCell ref="I15:J15"/>
    <mergeCell ref="B16:C16"/>
  </mergeCells>
  <printOptions horizontalCentered="1" verticalCentered="1"/>
  <pageMargins left="0.59055118110236227" right="0.19685039370078741" top="0.39370078740157483" bottom="0.19685039370078741" header="0.31496062992125984" footer="0.31496062992125984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43"/>
  <sheetViews>
    <sheetView tabSelected="1" view="pageBreakPreview" zoomScale="70" zoomScaleNormal="25" zoomScaleSheetLayoutView="70" workbookViewId="0">
      <selection activeCell="C7" sqref="C7"/>
    </sheetView>
  </sheetViews>
  <sheetFormatPr defaultColWidth="30.7109375" defaultRowHeight="22.5" customHeight="1" x14ac:dyDescent="0.25"/>
  <cols>
    <col min="1" max="1" width="6.140625" style="1" customWidth="1"/>
    <col min="2" max="2" width="22" style="158" customWidth="1"/>
    <col min="3" max="5" width="38.7109375" style="158" customWidth="1"/>
    <col min="6" max="6" width="23.42578125" style="158" customWidth="1"/>
    <col min="7" max="7" width="40.28515625" style="158" customWidth="1"/>
    <col min="8" max="9" width="38.85546875" style="158" customWidth="1"/>
    <col min="10" max="10" width="18.85546875" style="157" bestFit="1" customWidth="1"/>
    <col min="11" max="12" width="35.85546875" style="157" customWidth="1"/>
    <col min="13" max="13" width="36.85546875" style="1" customWidth="1"/>
    <col min="14" max="16384" width="30.7109375" style="1"/>
  </cols>
  <sheetData>
    <row r="1" spans="2:12" ht="24" customHeight="1" x14ac:dyDescent="0.25"/>
    <row r="2" spans="2:12" s="2" customFormat="1" ht="21.75" customHeight="1" x14ac:dyDescent="0.25">
      <c r="B2" s="171" t="s">
        <v>333</v>
      </c>
      <c r="F2" s="2" t="str">
        <f>B2</f>
        <v>ANNEXURE       :     FRP TANKS &amp; ABSORBER DTD. R1 21.12.2021</v>
      </c>
      <c r="J2" s="171"/>
      <c r="K2" s="171"/>
      <c r="L2" s="171"/>
    </row>
    <row r="3" spans="2:12" s="2" customFormat="1" ht="21.75" customHeight="1" x14ac:dyDescent="0.25">
      <c r="B3" s="2" t="s">
        <v>275</v>
      </c>
      <c r="F3" s="2" t="str">
        <f t="shared" ref="F3:F5" si="0">B3</f>
        <v>CLIENT              :     PARAMOUNT LTD., VADODARA</v>
      </c>
      <c r="J3" s="171"/>
      <c r="K3" s="171"/>
      <c r="L3" s="171"/>
    </row>
    <row r="4" spans="2:12" s="2" customFormat="1" ht="21.75" customHeight="1" x14ac:dyDescent="0.25">
      <c r="B4" s="2" t="s">
        <v>306</v>
      </c>
      <c r="F4" s="2" t="str">
        <f t="shared" si="0"/>
        <v>PROJECT          :     ADDN. PROCESS UNITS, URAN (JOB NO : PL-637)</v>
      </c>
      <c r="J4" s="171"/>
      <c r="K4" s="171"/>
      <c r="L4" s="171"/>
    </row>
    <row r="5" spans="2:12" ht="22.5" customHeight="1" x14ac:dyDescent="0.25">
      <c r="B5" s="241" t="s">
        <v>334</v>
      </c>
      <c r="C5" s="242"/>
      <c r="D5" s="242"/>
      <c r="E5" s="242"/>
      <c r="F5" s="2" t="str">
        <f t="shared" si="0"/>
        <v>OFFER NO.       :    OFFER/JRF/PL/21-22/O-630 R1  DTD. R1 21.12.2021</v>
      </c>
      <c r="G5" s="242"/>
      <c r="H5" s="242"/>
      <c r="I5" s="242"/>
      <c r="J5" s="162"/>
      <c r="K5" s="162"/>
      <c r="L5" s="162"/>
    </row>
    <row r="6" spans="2:12" ht="11.25" customHeight="1" x14ac:dyDescent="0.25">
      <c r="B6" s="1"/>
      <c r="C6" s="2"/>
      <c r="D6" s="174"/>
      <c r="E6" s="174"/>
      <c r="F6" s="242"/>
      <c r="G6" s="242"/>
      <c r="H6" s="242"/>
      <c r="I6" s="242"/>
      <c r="J6" s="162"/>
      <c r="K6" s="162"/>
      <c r="L6" s="162"/>
    </row>
    <row r="7" spans="2:12" s="4" customFormat="1" ht="15" x14ac:dyDescent="0.25">
      <c r="B7" s="165" t="s">
        <v>117</v>
      </c>
      <c r="C7" s="172" t="s">
        <v>88</v>
      </c>
      <c r="D7" s="172" t="s">
        <v>119</v>
      </c>
      <c r="E7" s="172" t="s">
        <v>120</v>
      </c>
      <c r="F7" s="165" t="str">
        <f>B7</f>
        <v>SR. NO</v>
      </c>
      <c r="G7" s="172" t="s">
        <v>121</v>
      </c>
      <c r="H7" s="172" t="s">
        <v>200</v>
      </c>
      <c r="I7" s="172" t="s">
        <v>122</v>
      </c>
    </row>
    <row r="8" spans="2:12" ht="15" x14ac:dyDescent="0.25">
      <c r="B8" s="165" t="s">
        <v>190</v>
      </c>
      <c r="C8" s="173" t="s">
        <v>233</v>
      </c>
      <c r="D8" s="173" t="s">
        <v>266</v>
      </c>
      <c r="E8" s="173" t="s">
        <v>269</v>
      </c>
      <c r="F8" s="165" t="str">
        <f t="shared" ref="F8:F39" si="1">B8</f>
        <v>TAG NO.</v>
      </c>
      <c r="G8" s="173" t="s">
        <v>298</v>
      </c>
      <c r="H8" s="173" t="s">
        <v>274</v>
      </c>
      <c r="I8" s="173" t="s">
        <v>307</v>
      </c>
      <c r="K8" s="1"/>
      <c r="L8" s="1"/>
    </row>
    <row r="9" spans="2:12" ht="15" x14ac:dyDescent="0.25">
      <c r="B9" s="165" t="s">
        <v>189</v>
      </c>
      <c r="C9" s="244" t="s">
        <v>337</v>
      </c>
      <c r="D9" s="244" t="s">
        <v>338</v>
      </c>
      <c r="E9" s="244" t="s">
        <v>339</v>
      </c>
      <c r="F9" s="165" t="str">
        <f t="shared" si="1"/>
        <v>DOC.NO.</v>
      </c>
      <c r="G9" s="244" t="s">
        <v>340</v>
      </c>
      <c r="H9" s="244" t="s">
        <v>341</v>
      </c>
      <c r="I9" s="244" t="s">
        <v>342</v>
      </c>
      <c r="K9" s="1"/>
      <c r="L9" s="1"/>
    </row>
    <row r="10" spans="2:12" ht="32.25" customHeight="1" x14ac:dyDescent="0.25">
      <c r="B10" s="165" t="s">
        <v>93</v>
      </c>
      <c r="C10" s="173" t="s">
        <v>234</v>
      </c>
      <c r="D10" s="173" t="s">
        <v>293</v>
      </c>
      <c r="E10" s="173" t="s">
        <v>237</v>
      </c>
      <c r="F10" s="165" t="str">
        <f t="shared" si="1"/>
        <v>TITLE</v>
      </c>
      <c r="G10" s="173" t="s">
        <v>299</v>
      </c>
      <c r="H10" s="173" t="s">
        <v>240</v>
      </c>
      <c r="I10" s="173" t="s">
        <v>302</v>
      </c>
      <c r="K10" s="1"/>
      <c r="L10" s="1"/>
    </row>
    <row r="11" spans="2:12" ht="46.5" customHeight="1" x14ac:dyDescent="0.25">
      <c r="B11" s="165" t="s">
        <v>73</v>
      </c>
      <c r="C11" s="173" t="s">
        <v>193</v>
      </c>
      <c r="D11" s="173" t="s">
        <v>193</v>
      </c>
      <c r="E11" s="173" t="s">
        <v>193</v>
      </c>
      <c r="F11" s="165" t="str">
        <f t="shared" si="1"/>
        <v>TYPE</v>
      </c>
      <c r="G11" s="173" t="s">
        <v>193</v>
      </c>
      <c r="H11" s="173" t="s">
        <v>193</v>
      </c>
      <c r="I11" s="173" t="s">
        <v>193</v>
      </c>
      <c r="K11" s="1"/>
      <c r="L11" s="1"/>
    </row>
    <row r="12" spans="2:12" s="3" customFormat="1" ht="30" x14ac:dyDescent="0.25">
      <c r="B12" s="165" t="s">
        <v>188</v>
      </c>
      <c r="C12" s="173" t="s">
        <v>278</v>
      </c>
      <c r="D12" s="173" t="s">
        <v>294</v>
      </c>
      <c r="E12" s="173" t="s">
        <v>297</v>
      </c>
      <c r="F12" s="165" t="str">
        <f t="shared" si="1"/>
        <v>SIZE (mm)</v>
      </c>
      <c r="G12" s="173" t="s">
        <v>294</v>
      </c>
      <c r="H12" s="173" t="s">
        <v>300</v>
      </c>
      <c r="I12" s="173" t="s">
        <v>297</v>
      </c>
    </row>
    <row r="13" spans="2:12" ht="15" x14ac:dyDescent="0.25">
      <c r="B13" s="165" t="s">
        <v>91</v>
      </c>
      <c r="C13" s="173" t="s">
        <v>236</v>
      </c>
      <c r="D13" s="173" t="s">
        <v>241</v>
      </c>
      <c r="E13" s="173" t="s">
        <v>242</v>
      </c>
      <c r="F13" s="165" t="str">
        <f t="shared" si="1"/>
        <v>CAPACITY</v>
      </c>
      <c r="G13" s="173" t="s">
        <v>241</v>
      </c>
      <c r="H13" s="173" t="s">
        <v>244</v>
      </c>
      <c r="I13" s="173" t="s">
        <v>242</v>
      </c>
      <c r="K13" s="1"/>
      <c r="L13" s="1"/>
    </row>
    <row r="14" spans="2:12" ht="15" x14ac:dyDescent="0.25">
      <c r="B14" s="169" t="s">
        <v>282</v>
      </c>
      <c r="C14" s="357">
        <v>1150</v>
      </c>
      <c r="D14" s="357">
        <v>1140</v>
      </c>
      <c r="E14" s="357">
        <v>1150</v>
      </c>
      <c r="F14" s="165" t="str">
        <f t="shared" si="1"/>
        <v>DENSITY (KG/M3)</v>
      </c>
      <c r="G14" s="357">
        <v>1140</v>
      </c>
      <c r="H14" s="357">
        <v>1330</v>
      </c>
      <c r="I14" s="357">
        <v>1330</v>
      </c>
      <c r="K14" s="1"/>
      <c r="L14" s="1"/>
    </row>
    <row r="15" spans="2:12" ht="15" x14ac:dyDescent="0.25">
      <c r="B15" s="169" t="s">
        <v>187</v>
      </c>
      <c r="C15" s="173" t="s">
        <v>305</v>
      </c>
      <c r="D15" s="173" t="s">
        <v>305</v>
      </c>
      <c r="E15" s="173" t="s">
        <v>305</v>
      </c>
      <c r="F15" s="165" t="str">
        <f t="shared" si="1"/>
        <v>PROCESS FLUID</v>
      </c>
      <c r="G15" s="173" t="s">
        <v>305</v>
      </c>
      <c r="H15" s="173" t="s">
        <v>301</v>
      </c>
      <c r="I15" s="173" t="s">
        <v>301</v>
      </c>
      <c r="K15" s="1"/>
      <c r="L15" s="1"/>
    </row>
    <row r="16" spans="2:12" ht="34.5" customHeight="1" x14ac:dyDescent="0.25">
      <c r="B16" s="169" t="s">
        <v>191</v>
      </c>
      <c r="C16" s="173" t="s">
        <v>284</v>
      </c>
      <c r="D16" s="173" t="s">
        <v>295</v>
      </c>
      <c r="E16" s="173" t="s">
        <v>284</v>
      </c>
      <c r="F16" s="165" t="str">
        <f t="shared" si="1"/>
        <v>DESIGN PRESSURE</v>
      </c>
      <c r="G16" s="173" t="s">
        <v>295</v>
      </c>
      <c r="H16" s="173" t="s">
        <v>284</v>
      </c>
      <c r="I16" s="173" t="s">
        <v>284</v>
      </c>
      <c r="K16" s="1"/>
      <c r="L16" s="1"/>
    </row>
    <row r="17" spans="2:16" ht="30" customHeight="1" x14ac:dyDescent="0.25">
      <c r="B17" s="169" t="s">
        <v>212</v>
      </c>
      <c r="C17" s="173" t="s">
        <v>283</v>
      </c>
      <c r="D17" s="173" t="s">
        <v>283</v>
      </c>
      <c r="E17" s="173" t="s">
        <v>283</v>
      </c>
      <c r="F17" s="165" t="str">
        <f t="shared" si="1"/>
        <v>OP.PRESSURE
_Kg/cm2g</v>
      </c>
      <c r="G17" s="173" t="s">
        <v>295</v>
      </c>
      <c r="H17" s="173" t="s">
        <v>283</v>
      </c>
      <c r="I17" s="173" t="s">
        <v>283</v>
      </c>
      <c r="K17" s="1"/>
      <c r="L17" s="1"/>
    </row>
    <row r="18" spans="2:16" ht="15" x14ac:dyDescent="0.25">
      <c r="B18" s="169" t="s">
        <v>186</v>
      </c>
      <c r="C18" s="173" t="s">
        <v>286</v>
      </c>
      <c r="D18" s="173" t="s">
        <v>287</v>
      </c>
      <c r="E18" s="173" t="s">
        <v>286</v>
      </c>
      <c r="F18" s="165" t="str">
        <f t="shared" si="1"/>
        <v>DESIGN TEMP</v>
      </c>
      <c r="G18" s="173" t="s">
        <v>287</v>
      </c>
      <c r="H18" s="173" t="s">
        <v>286</v>
      </c>
      <c r="I18" s="173" t="s">
        <v>286</v>
      </c>
      <c r="K18" s="1"/>
      <c r="L18" s="1"/>
    </row>
    <row r="19" spans="2:16" ht="21" customHeight="1" x14ac:dyDescent="0.25">
      <c r="B19" s="169" t="s">
        <v>185</v>
      </c>
      <c r="C19" s="173" t="s">
        <v>287</v>
      </c>
      <c r="D19" s="173" t="s">
        <v>287</v>
      </c>
      <c r="E19" s="173" t="s">
        <v>287</v>
      </c>
      <c r="F19" s="165" t="str">
        <f t="shared" si="1"/>
        <v>OPERATING TEMP</v>
      </c>
      <c r="G19" s="173" t="s">
        <v>287</v>
      </c>
      <c r="H19" s="173" t="s">
        <v>287</v>
      </c>
      <c r="I19" s="173" t="s">
        <v>287</v>
      </c>
      <c r="K19" s="1"/>
      <c r="L19" s="1"/>
    </row>
    <row r="20" spans="2:16" ht="30.75" customHeight="1" x14ac:dyDescent="0.25">
      <c r="B20" s="169" t="s">
        <v>296</v>
      </c>
      <c r="C20" s="172" t="s">
        <v>174</v>
      </c>
      <c r="D20" s="172" t="s">
        <v>174</v>
      </c>
      <c r="E20" s="172" t="s">
        <v>174</v>
      </c>
      <c r="F20" s="165" t="str">
        <f t="shared" si="1"/>
        <v>DESIGN VACCUM 
PRESSURE</v>
      </c>
      <c r="G20" s="172" t="s">
        <v>174</v>
      </c>
      <c r="H20" s="172" t="s">
        <v>174</v>
      </c>
      <c r="I20" s="172" t="s">
        <v>174</v>
      </c>
      <c r="K20" s="1"/>
      <c r="L20" s="1"/>
    </row>
    <row r="21" spans="2:16" ht="15" x14ac:dyDescent="0.25">
      <c r="B21" s="169" t="s">
        <v>184</v>
      </c>
      <c r="C21" s="173" t="s">
        <v>285</v>
      </c>
      <c r="D21" s="173" t="s">
        <v>285</v>
      </c>
      <c r="E21" s="173" t="s">
        <v>285</v>
      </c>
      <c r="F21" s="165" t="str">
        <f t="shared" si="1"/>
        <v>HYDRO TEST</v>
      </c>
      <c r="G21" s="173" t="s">
        <v>285</v>
      </c>
      <c r="H21" s="173" t="s">
        <v>285</v>
      </c>
      <c r="I21" s="173" t="s">
        <v>285</v>
      </c>
      <c r="K21" s="1"/>
      <c r="L21" s="1"/>
    </row>
    <row r="22" spans="2:16" s="4" customFormat="1" ht="15" x14ac:dyDescent="0.25">
      <c r="B22" s="165" t="s">
        <v>183</v>
      </c>
      <c r="C22" s="173" t="s">
        <v>192</v>
      </c>
      <c r="D22" s="173" t="s">
        <v>192</v>
      </c>
      <c r="E22" s="173" t="s">
        <v>192</v>
      </c>
      <c r="F22" s="165" t="str">
        <f t="shared" si="1"/>
        <v>DESIGN CODE</v>
      </c>
      <c r="G22" s="173" t="s">
        <v>192</v>
      </c>
      <c r="H22" s="173" t="s">
        <v>192</v>
      </c>
      <c r="I22" s="173" t="s">
        <v>192</v>
      </c>
    </row>
    <row r="23" spans="2:16" ht="28.5" customHeight="1" x14ac:dyDescent="0.25">
      <c r="B23" s="169" t="s">
        <v>182</v>
      </c>
      <c r="C23" s="173" t="s">
        <v>313</v>
      </c>
      <c r="D23" s="173" t="s">
        <v>313</v>
      </c>
      <c r="E23" s="173" t="s">
        <v>313</v>
      </c>
      <c r="F23" s="165" t="str">
        <f t="shared" si="1"/>
        <v>M.O.C</v>
      </c>
      <c r="G23" s="173" t="s">
        <v>313</v>
      </c>
      <c r="H23" s="173" t="s">
        <v>313</v>
      </c>
      <c r="I23" s="173" t="s">
        <v>313</v>
      </c>
      <c r="K23" s="1"/>
      <c r="L23" s="1"/>
    </row>
    <row r="24" spans="2:16" ht="15" x14ac:dyDescent="0.25">
      <c r="B24" s="169" t="s">
        <v>181</v>
      </c>
      <c r="C24" s="173" t="s">
        <v>288</v>
      </c>
      <c r="D24" s="173" t="s">
        <v>288</v>
      </c>
      <c r="E24" s="173" t="s">
        <v>288</v>
      </c>
      <c r="F24" s="165" t="str">
        <f t="shared" si="1"/>
        <v xml:space="preserve">GASKET </v>
      </c>
      <c r="G24" s="173" t="s">
        <v>288</v>
      </c>
      <c r="H24" s="173" t="s">
        <v>288</v>
      </c>
      <c r="I24" s="173" t="s">
        <v>288</v>
      </c>
      <c r="K24" s="1"/>
      <c r="L24" s="1"/>
    </row>
    <row r="25" spans="2:16" ht="16.5" customHeight="1" x14ac:dyDescent="0.25">
      <c r="B25" s="169" t="s">
        <v>180</v>
      </c>
      <c r="C25" s="175" t="s">
        <v>289</v>
      </c>
      <c r="D25" s="175" t="s">
        <v>289</v>
      </c>
      <c r="E25" s="175" t="s">
        <v>289</v>
      </c>
      <c r="F25" s="165" t="str">
        <f t="shared" si="1"/>
        <v>NUT BOLTS</v>
      </c>
      <c r="G25" s="175" t="s">
        <v>289</v>
      </c>
      <c r="H25" s="175" t="s">
        <v>289</v>
      </c>
      <c r="I25" s="175" t="s">
        <v>289</v>
      </c>
      <c r="K25" s="4"/>
      <c r="L25" s="1"/>
    </row>
    <row r="26" spans="2:16" s="2" customFormat="1" ht="23.45" customHeight="1" x14ac:dyDescent="0.25">
      <c r="B26" s="166" t="s">
        <v>31</v>
      </c>
      <c r="C26" s="244"/>
      <c r="D26" s="244"/>
      <c r="E26" s="244"/>
      <c r="F26" s="165" t="str">
        <f t="shared" si="1"/>
        <v>THICKNESS</v>
      </c>
      <c r="G26" s="244"/>
      <c r="H26" s="244"/>
      <c r="I26" s="244"/>
      <c r="K26" s="170"/>
    </row>
    <row r="27" spans="2:16" s="245" customFormat="1" ht="15" x14ac:dyDescent="0.25">
      <c r="B27" s="169" t="s">
        <v>60</v>
      </c>
      <c r="C27" s="244" t="s">
        <v>314</v>
      </c>
      <c r="D27" s="244" t="s">
        <v>291</v>
      </c>
      <c r="E27" s="244" t="s">
        <v>314</v>
      </c>
      <c r="F27" s="165" t="str">
        <f t="shared" si="1"/>
        <v>SHELL</v>
      </c>
      <c r="G27" s="244" t="s">
        <v>291</v>
      </c>
      <c r="H27" s="244" t="s">
        <v>314</v>
      </c>
      <c r="I27" s="244" t="s">
        <v>314</v>
      </c>
      <c r="L27" s="246"/>
      <c r="M27" s="246"/>
      <c r="N27" s="246"/>
      <c r="O27" s="246"/>
      <c r="P27" s="246"/>
    </row>
    <row r="28" spans="2:16" s="245" customFormat="1" ht="17.25" customHeight="1" x14ac:dyDescent="0.25">
      <c r="B28" s="169" t="s">
        <v>290</v>
      </c>
      <c r="C28" s="244" t="s">
        <v>314</v>
      </c>
      <c r="D28" s="244" t="s">
        <v>291</v>
      </c>
      <c r="E28" s="244" t="s">
        <v>314</v>
      </c>
      <c r="F28" s="165" t="str">
        <f t="shared" si="1"/>
        <v>BOTTOM FLAT</v>
      </c>
      <c r="G28" s="244" t="s">
        <v>291</v>
      </c>
      <c r="H28" s="244" t="s">
        <v>314</v>
      </c>
      <c r="I28" s="244" t="s">
        <v>314</v>
      </c>
      <c r="J28" s="247"/>
      <c r="K28" s="246"/>
      <c r="L28" s="246"/>
      <c r="M28" s="246"/>
      <c r="N28" s="246"/>
      <c r="O28" s="246"/>
      <c r="P28" s="248"/>
    </row>
    <row r="29" spans="2:16" s="245" customFormat="1" ht="15" x14ac:dyDescent="0.25">
      <c r="B29" s="169" t="s">
        <v>76</v>
      </c>
      <c r="C29" s="244" t="s">
        <v>324</v>
      </c>
      <c r="D29" s="244" t="s">
        <v>292</v>
      </c>
      <c r="E29" s="244" t="s">
        <v>325</v>
      </c>
      <c r="F29" s="165" t="str">
        <f t="shared" si="1"/>
        <v>TOP COVER</v>
      </c>
      <c r="G29" s="244" t="s">
        <v>292</v>
      </c>
      <c r="H29" s="244" t="s">
        <v>326</v>
      </c>
      <c r="I29" s="244" t="s">
        <v>325</v>
      </c>
      <c r="J29" s="247"/>
      <c r="K29" s="246"/>
      <c r="L29" s="246"/>
      <c r="M29" s="246"/>
      <c r="N29" s="246"/>
      <c r="O29" s="246"/>
      <c r="P29" s="248"/>
    </row>
    <row r="30" spans="2:16" s="245" customFormat="1" ht="20.25" customHeight="1" x14ac:dyDescent="0.25">
      <c r="B30" s="169" t="s">
        <v>110</v>
      </c>
      <c r="C30" s="244" t="s">
        <v>316</v>
      </c>
      <c r="D30" s="244" t="s">
        <v>292</v>
      </c>
      <c r="E30" s="244" t="s">
        <v>317</v>
      </c>
      <c r="F30" s="165" t="str">
        <f t="shared" si="1"/>
        <v>BODY FLG</v>
      </c>
      <c r="G30" s="244" t="s">
        <v>292</v>
      </c>
      <c r="H30" s="244" t="s">
        <v>315</v>
      </c>
      <c r="I30" s="244" t="s">
        <v>317</v>
      </c>
      <c r="J30" s="247"/>
      <c r="K30" s="246"/>
      <c r="L30" s="246"/>
      <c r="M30" s="246"/>
      <c r="N30" s="246"/>
      <c r="O30" s="246"/>
      <c r="P30" s="249"/>
    </row>
    <row r="31" spans="2:16" ht="29.65" customHeight="1" x14ac:dyDescent="0.25">
      <c r="B31" s="165" t="s">
        <v>179</v>
      </c>
      <c r="C31" s="173" t="s">
        <v>178</v>
      </c>
      <c r="D31" s="173" t="s">
        <v>178</v>
      </c>
      <c r="E31" s="173" t="s">
        <v>178</v>
      </c>
      <c r="F31" s="165" t="str">
        <f t="shared" si="1"/>
        <v xml:space="preserve">NOZZLES </v>
      </c>
      <c r="G31" s="173" t="s">
        <v>178</v>
      </c>
      <c r="H31" s="173" t="s">
        <v>178</v>
      </c>
      <c r="I31" s="173" t="s">
        <v>178</v>
      </c>
      <c r="K31" s="160"/>
      <c r="L31" s="160"/>
      <c r="M31" s="160"/>
      <c r="N31" s="160"/>
      <c r="O31" s="160"/>
      <c r="P31" s="168"/>
    </row>
    <row r="32" spans="2:16" ht="17.25" customHeight="1" x14ac:dyDescent="0.25">
      <c r="B32" s="165" t="s">
        <v>177</v>
      </c>
      <c r="C32" s="173" t="s">
        <v>176</v>
      </c>
      <c r="D32" s="173" t="s">
        <v>176</v>
      </c>
      <c r="E32" s="173" t="s">
        <v>176</v>
      </c>
      <c r="F32" s="165" t="str">
        <f t="shared" si="1"/>
        <v>FLANGE STD.</v>
      </c>
      <c r="G32" s="173" t="s">
        <v>176</v>
      </c>
      <c r="H32" s="173" t="s">
        <v>176</v>
      </c>
      <c r="I32" s="173" t="s">
        <v>176</v>
      </c>
      <c r="K32" s="1"/>
      <c r="L32" s="1"/>
    </row>
    <row r="33" spans="2:12" s="4" customFormat="1" ht="51.75" customHeight="1" x14ac:dyDescent="0.25">
      <c r="B33" s="165" t="s">
        <v>175</v>
      </c>
      <c r="C33" s="173" t="s">
        <v>194</v>
      </c>
      <c r="D33" s="173" t="s">
        <v>303</v>
      </c>
      <c r="E33" s="173" t="s">
        <v>194</v>
      </c>
      <c r="F33" s="165" t="str">
        <f t="shared" si="1"/>
        <v>INTERNALS</v>
      </c>
      <c r="G33" s="173" t="s">
        <v>303</v>
      </c>
      <c r="H33" s="173" t="s">
        <v>194</v>
      </c>
      <c r="I33" s="173" t="s">
        <v>194</v>
      </c>
      <c r="J33" s="157"/>
    </row>
    <row r="34" spans="2:12" ht="103.5" customHeight="1" x14ac:dyDescent="0.25">
      <c r="B34" s="165" t="s">
        <v>173</v>
      </c>
      <c r="C34" s="250" t="s">
        <v>318</v>
      </c>
      <c r="D34" s="250" t="s">
        <v>322</v>
      </c>
      <c r="E34" s="250" t="s">
        <v>318</v>
      </c>
      <c r="F34" s="165" t="str">
        <f t="shared" si="1"/>
        <v>ACCESSORIES</v>
      </c>
      <c r="G34" s="250" t="s">
        <v>322</v>
      </c>
      <c r="H34" s="250" t="s">
        <v>328</v>
      </c>
      <c r="I34" s="250" t="s">
        <v>329</v>
      </c>
      <c r="K34" s="1"/>
      <c r="L34" s="1"/>
    </row>
    <row r="35" spans="2:12" ht="66" customHeight="1" x14ac:dyDescent="0.25">
      <c r="B35" s="165" t="s">
        <v>172</v>
      </c>
      <c r="C35" s="173" t="s">
        <v>211</v>
      </c>
      <c r="D35" s="173" t="s">
        <v>304</v>
      </c>
      <c r="E35" s="173" t="s">
        <v>211</v>
      </c>
      <c r="F35" s="165" t="str">
        <f t="shared" si="1"/>
        <v>SUPPORT</v>
      </c>
      <c r="G35" s="173" t="s">
        <v>304</v>
      </c>
      <c r="H35" s="173" t="s">
        <v>211</v>
      </c>
      <c r="I35" s="173" t="s">
        <v>211</v>
      </c>
      <c r="K35" s="167"/>
      <c r="L35" s="1"/>
    </row>
    <row r="36" spans="2:12" ht="52.5" hidden="1" customHeight="1" x14ac:dyDescent="0.25">
      <c r="B36" s="166" t="s">
        <v>171</v>
      </c>
      <c r="C36" s="173" t="s">
        <v>198</v>
      </c>
      <c r="D36" s="173" t="s">
        <v>198</v>
      </c>
      <c r="E36" s="173" t="s">
        <v>198</v>
      </c>
      <c r="F36" s="165" t="str">
        <f t="shared" si="1"/>
        <v>COMMISSIONING SPARES</v>
      </c>
      <c r="G36" s="173" t="s">
        <v>198</v>
      </c>
      <c r="H36" s="173" t="s">
        <v>198</v>
      </c>
      <c r="I36" s="173" t="s">
        <v>198</v>
      </c>
      <c r="K36" s="1"/>
      <c r="L36" s="1"/>
    </row>
    <row r="37" spans="2:12" ht="144.75" customHeight="1" x14ac:dyDescent="0.25">
      <c r="B37" s="165" t="s">
        <v>170</v>
      </c>
      <c r="C37" s="173" t="s">
        <v>343</v>
      </c>
      <c r="D37" s="173" t="s">
        <v>343</v>
      </c>
      <c r="E37" s="173" t="s">
        <v>343</v>
      </c>
      <c r="F37" s="165" t="str">
        <f t="shared" si="1"/>
        <v xml:space="preserve">EXCLUSION </v>
      </c>
      <c r="G37" s="173" t="s">
        <v>343</v>
      </c>
      <c r="H37" s="173" t="s">
        <v>343</v>
      </c>
      <c r="I37" s="173" t="s">
        <v>343</v>
      </c>
      <c r="K37" s="1"/>
      <c r="L37" s="1"/>
    </row>
    <row r="38" spans="2:12" ht="29.65" customHeight="1" x14ac:dyDescent="0.25">
      <c r="B38" s="165" t="s">
        <v>168</v>
      </c>
      <c r="C38" s="212">
        <f>'01_1.35 KL'!I142</f>
        <v>203000</v>
      </c>
      <c r="D38" s="212">
        <f>'02 &amp; 04_0.02 KL'!I142</f>
        <v>46500</v>
      </c>
      <c r="E38" s="212">
        <f>'03_0.330 KL'!I142</f>
        <v>107000</v>
      </c>
      <c r="F38" s="165" t="str">
        <f t="shared" si="1"/>
        <v>UNIT RATE (Rs.)</v>
      </c>
      <c r="G38" s="212">
        <f>'02 &amp; 04_0.02 KL'!I142</f>
        <v>46500</v>
      </c>
      <c r="H38" s="212">
        <f>'05_0.942 KL'!I143</f>
        <v>186000</v>
      </c>
      <c r="I38" s="212">
        <f>'06_0.330 KL'!I143</f>
        <v>121000</v>
      </c>
      <c r="J38" s="164" t="s">
        <v>57</v>
      </c>
      <c r="K38" s="1"/>
      <c r="L38" s="1"/>
    </row>
    <row r="39" spans="2:12" ht="29.65" customHeight="1" x14ac:dyDescent="0.25">
      <c r="B39" s="165" t="s">
        <v>169</v>
      </c>
      <c r="C39" s="358">
        <v>2</v>
      </c>
      <c r="D39" s="358">
        <v>2</v>
      </c>
      <c r="E39" s="358">
        <v>2</v>
      </c>
      <c r="F39" s="165" t="str">
        <f t="shared" si="1"/>
        <v>QTY (NOS)</v>
      </c>
      <c r="G39" s="358">
        <v>2</v>
      </c>
      <c r="H39" s="358">
        <v>2</v>
      </c>
      <c r="I39" s="358">
        <v>2</v>
      </c>
      <c r="J39" s="164">
        <f>SUM(C39:I39)</f>
        <v>12</v>
      </c>
      <c r="K39" s="1"/>
      <c r="L39" s="1"/>
    </row>
    <row r="40" spans="2:12" ht="29.65" customHeight="1" x14ac:dyDescent="0.25">
      <c r="B40" s="165" t="s">
        <v>167</v>
      </c>
      <c r="C40" s="212">
        <f t="shared" ref="C40:I40" si="2">C38*C39</f>
        <v>406000</v>
      </c>
      <c r="D40" s="212">
        <f t="shared" si="2"/>
        <v>93000</v>
      </c>
      <c r="E40" s="212">
        <f t="shared" si="2"/>
        <v>214000</v>
      </c>
      <c r="F40" s="165" t="str">
        <f>B40</f>
        <v>TOTAL (Rs.)</v>
      </c>
      <c r="G40" s="212">
        <f t="shared" si="2"/>
        <v>93000</v>
      </c>
      <c r="H40" s="212">
        <f t="shared" si="2"/>
        <v>372000</v>
      </c>
      <c r="I40" s="212">
        <f t="shared" si="2"/>
        <v>242000</v>
      </c>
      <c r="J40" s="164">
        <f>SUM(C40:I40)</f>
        <v>1420000</v>
      </c>
      <c r="K40" s="1"/>
      <c r="L40" s="1"/>
    </row>
    <row r="41" spans="2:12" ht="21.75" customHeight="1" x14ac:dyDescent="0.25">
      <c r="B41" s="163" t="s">
        <v>166</v>
      </c>
      <c r="C41" s="427" t="s">
        <v>165</v>
      </c>
      <c r="D41" s="427"/>
      <c r="E41" s="427"/>
      <c r="F41" s="165" t="str">
        <f>B41</f>
        <v>NOTE</v>
      </c>
      <c r="G41" s="427" t="s">
        <v>165</v>
      </c>
      <c r="H41" s="427"/>
      <c r="I41" s="427"/>
    </row>
    <row r="42" spans="2:12" ht="22.5" customHeight="1" x14ac:dyDescent="0.25">
      <c r="B42" s="162"/>
      <c r="C42" s="172" t="s">
        <v>88</v>
      </c>
      <c r="D42" s="172" t="s">
        <v>119</v>
      </c>
      <c r="E42" s="172" t="s">
        <v>120</v>
      </c>
      <c r="F42" s="172"/>
      <c r="G42" s="172" t="s">
        <v>121</v>
      </c>
      <c r="H42" s="172" t="s">
        <v>200</v>
      </c>
      <c r="I42" s="172" t="s">
        <v>122</v>
      </c>
      <c r="J42" s="161"/>
      <c r="K42" s="161"/>
      <c r="L42" s="161"/>
    </row>
    <row r="43" spans="2:12" ht="22.5" customHeight="1" x14ac:dyDescent="0.25">
      <c r="B43" s="160"/>
      <c r="C43" s="173" t="s">
        <v>236</v>
      </c>
      <c r="D43" s="173" t="s">
        <v>241</v>
      </c>
      <c r="E43" s="173" t="s">
        <v>242</v>
      </c>
      <c r="F43" s="173"/>
      <c r="G43" s="173" t="s">
        <v>241</v>
      </c>
      <c r="H43" s="173" t="s">
        <v>244</v>
      </c>
      <c r="I43" s="173" t="s">
        <v>242</v>
      </c>
      <c r="J43" s="159"/>
      <c r="K43" s="159"/>
      <c r="L43" s="159"/>
    </row>
  </sheetData>
  <mergeCells count="2">
    <mergeCell ref="C41:E41"/>
    <mergeCell ref="G41:I41"/>
  </mergeCells>
  <printOptions horizontalCentered="1" verticalCentered="1"/>
  <pageMargins left="0.51181102362204722" right="0.19685039370078741" top="0.19685039370078741" bottom="0.19685039370078741" header="0.31496062992125984" footer="0.31496062992125984"/>
  <pageSetup paperSize="9" scale="68" fitToHeight="2" orientation="portrait" r:id="rId1"/>
  <colBreaks count="1" manualBreakCount="1">
    <brk id="5" min="1" max="40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B1:AE142"/>
  <sheetViews>
    <sheetView view="pageBreakPreview" topLeftCell="A127" zoomScaleNormal="115" zoomScaleSheetLayoutView="100" workbookViewId="0">
      <selection activeCell="I141" sqref="I141"/>
    </sheetView>
  </sheetViews>
  <sheetFormatPr defaultColWidth="9.140625" defaultRowHeight="15" x14ac:dyDescent="0.25"/>
  <cols>
    <col min="1" max="1" width="3.42578125" style="181" customWidth="1"/>
    <col min="2" max="2" width="7.140625" style="181" customWidth="1"/>
    <col min="3" max="3" width="12.5703125" style="181" customWidth="1"/>
    <col min="4" max="4" width="14.42578125" style="181" customWidth="1"/>
    <col min="5" max="5" width="9" style="181" customWidth="1"/>
    <col min="6" max="6" width="13.42578125" style="181" customWidth="1"/>
    <col min="7" max="7" width="14.42578125" style="181" bestFit="1" customWidth="1"/>
    <col min="8" max="8" width="13.7109375" style="184" customWidth="1"/>
    <col min="9" max="9" width="17.42578125" style="181" customWidth="1"/>
    <col min="10" max="12" width="11.28515625" style="181" customWidth="1"/>
    <col min="13" max="13" width="11" style="181" customWidth="1"/>
    <col min="14" max="14" width="10.7109375" style="181" customWidth="1"/>
    <col min="15" max="15" width="12.7109375" style="181" bestFit="1" customWidth="1"/>
    <col min="16" max="16" width="9.7109375" style="181" bestFit="1" customWidth="1"/>
    <col min="17" max="17" width="9.28515625" style="181" bestFit="1" customWidth="1"/>
    <col min="18" max="18" width="9" style="181" bestFit="1" customWidth="1"/>
    <col min="19" max="19" width="12.28515625" style="181" bestFit="1" customWidth="1"/>
    <col min="20" max="20" width="8" style="181" bestFit="1" customWidth="1"/>
    <col min="21" max="21" width="9.5703125" style="181" customWidth="1"/>
    <col min="22" max="22" width="3.42578125" style="181" bestFit="1" customWidth="1"/>
    <col min="23" max="23" width="4.42578125" style="181" bestFit="1" customWidth="1"/>
    <col min="24" max="24" width="3.42578125" style="181" bestFit="1" customWidth="1"/>
    <col min="25" max="25" width="4.42578125" style="181" bestFit="1" customWidth="1"/>
    <col min="26" max="29" width="6.7109375" style="181" bestFit="1" customWidth="1"/>
    <col min="30" max="30" width="9.7109375" style="181" bestFit="1" customWidth="1"/>
    <col min="31" max="31" width="15.85546875" style="181" bestFit="1" customWidth="1"/>
    <col min="32" max="16384" width="9.140625" style="181"/>
  </cols>
  <sheetData>
    <row r="1" spans="3:20" s="382" customFormat="1" x14ac:dyDescent="0.25">
      <c r="C1" s="5" t="s">
        <v>61</v>
      </c>
      <c r="D1" s="203">
        <v>44551</v>
      </c>
      <c r="E1" s="412" t="s">
        <v>320</v>
      </c>
      <c r="H1" s="383"/>
    </row>
    <row r="2" spans="3:20" ht="15" customHeight="1" x14ac:dyDescent="0.25">
      <c r="C2" s="5" t="s">
        <v>61</v>
      </c>
      <c r="D2" s="203">
        <v>44530</v>
      </c>
      <c r="E2" s="412" t="s">
        <v>335</v>
      </c>
      <c r="F2" s="186"/>
      <c r="G2" s="186"/>
      <c r="I2" s="184"/>
      <c r="J2" s="6"/>
      <c r="K2" s="6"/>
      <c r="L2" s="7"/>
      <c r="M2" s="467" t="s">
        <v>320</v>
      </c>
      <c r="N2" s="452" t="s">
        <v>88</v>
      </c>
    </row>
    <row r="3" spans="3:20" ht="15.75" customHeight="1" x14ac:dyDescent="0.25">
      <c r="C3" s="5" t="s">
        <v>73</v>
      </c>
      <c r="D3" s="5" t="s">
        <v>231</v>
      </c>
      <c r="E3" s="5"/>
      <c r="F3" s="8"/>
      <c r="G3" s="8"/>
      <c r="H3" s="9"/>
      <c r="I3" s="8"/>
      <c r="J3" s="8"/>
      <c r="K3" s="8"/>
      <c r="L3" s="7"/>
      <c r="M3" s="467"/>
      <c r="N3" s="453"/>
    </row>
    <row r="4" spans="3:20" ht="15.75" customHeight="1" x14ac:dyDescent="0.25">
      <c r="C4" s="5" t="s">
        <v>74</v>
      </c>
      <c r="D4" s="5" t="s">
        <v>232</v>
      </c>
      <c r="E4" s="5"/>
      <c r="F4" s="5"/>
      <c r="G4" s="5"/>
      <c r="H4" s="5"/>
      <c r="I4" s="5"/>
      <c r="J4" s="5"/>
      <c r="K4" s="9"/>
      <c r="L4" s="7"/>
      <c r="M4" s="467"/>
      <c r="N4" s="453"/>
    </row>
    <row r="5" spans="3:20" ht="15.75" customHeight="1" x14ac:dyDescent="0.25">
      <c r="C5" s="5" t="s">
        <v>91</v>
      </c>
      <c r="D5" s="206">
        <f>M11</f>
        <v>1.3571680263507906</v>
      </c>
      <c r="E5" s="6" t="s">
        <v>92</v>
      </c>
      <c r="F5" s="184"/>
      <c r="G5" s="184"/>
      <c r="I5" s="184"/>
      <c r="J5" s="454"/>
      <c r="K5" s="184"/>
      <c r="L5" s="454"/>
      <c r="M5" s="10"/>
    </row>
    <row r="6" spans="3:20" ht="15.75" customHeight="1" x14ac:dyDescent="0.25">
      <c r="C6" s="5" t="s">
        <v>93</v>
      </c>
      <c r="D6" s="5" t="s">
        <v>234</v>
      </c>
      <c r="E6" s="6"/>
      <c r="F6" s="184"/>
      <c r="G6" s="184"/>
      <c r="I6" s="184"/>
      <c r="J6" s="454"/>
      <c r="K6" s="184"/>
      <c r="L6" s="454"/>
      <c r="M6" s="10"/>
      <c r="N6" s="187"/>
      <c r="O6" s="183"/>
    </row>
    <row r="7" spans="3:20" ht="15" customHeight="1" x14ac:dyDescent="0.25">
      <c r="D7" s="178"/>
      <c r="E7" s="5"/>
      <c r="F7" s="5"/>
      <c r="G7" s="5"/>
      <c r="I7" s="184"/>
      <c r="J7" s="455"/>
      <c r="K7" s="184"/>
      <c r="L7" s="455"/>
      <c r="N7" s="7"/>
    </row>
    <row r="8" spans="3:20" x14ac:dyDescent="0.25">
      <c r="D8" s="5"/>
      <c r="J8" s="11"/>
      <c r="K8" s="12"/>
      <c r="L8" s="13"/>
      <c r="R8" s="442"/>
      <c r="S8" s="176"/>
      <c r="T8" s="442"/>
    </row>
    <row r="9" spans="3:20" x14ac:dyDescent="0.25">
      <c r="D9" s="5"/>
      <c r="J9" s="177"/>
      <c r="L9" s="188"/>
      <c r="R9" s="442"/>
      <c r="S9" s="176"/>
      <c r="T9" s="442"/>
    </row>
    <row r="10" spans="3:20" x14ac:dyDescent="0.25">
      <c r="C10" s="14" t="s">
        <v>94</v>
      </c>
      <c r="D10" s="15">
        <f>+J13/1000</f>
        <v>1.2</v>
      </c>
      <c r="E10" s="189"/>
      <c r="F10" s="468" t="s">
        <v>233</v>
      </c>
      <c r="G10" s="468"/>
      <c r="J10" s="177"/>
      <c r="L10" s="188"/>
      <c r="R10" s="442"/>
      <c r="S10" s="176"/>
      <c r="T10" s="442"/>
    </row>
    <row r="11" spans="3:20" x14ac:dyDescent="0.25">
      <c r="C11" s="14" t="s">
        <v>95</v>
      </c>
      <c r="D11" s="15">
        <f>+I13/1000</f>
        <v>1.2</v>
      </c>
      <c r="E11" s="189"/>
      <c r="F11" s="468"/>
      <c r="G11" s="468"/>
      <c r="J11" s="443"/>
      <c r="K11" s="444"/>
      <c r="L11" s="445"/>
      <c r="M11" s="16">
        <f>(PI()/4)*(DIA^2)*HT</f>
        <v>1.3571680263507906</v>
      </c>
    </row>
    <row r="12" spans="3:20" x14ac:dyDescent="0.25">
      <c r="C12" s="17" t="s">
        <v>5</v>
      </c>
      <c r="D12" s="18">
        <v>15</v>
      </c>
      <c r="E12" s="189"/>
      <c r="F12" s="468"/>
      <c r="G12" s="468"/>
      <c r="I12" s="189" t="s">
        <v>95</v>
      </c>
      <c r="J12" s="446" t="s">
        <v>94</v>
      </c>
      <c r="K12" s="447"/>
      <c r="L12" s="448"/>
    </row>
    <row r="13" spans="3:20" x14ac:dyDescent="0.25">
      <c r="C13" s="14" t="s">
        <v>96</v>
      </c>
      <c r="D13" s="19">
        <f>+HT/5</f>
        <v>0.24</v>
      </c>
      <c r="F13" s="189"/>
      <c r="G13" s="189"/>
      <c r="I13" s="20">
        <v>1200</v>
      </c>
      <c r="J13" s="449">
        <v>1200</v>
      </c>
      <c r="K13" s="450"/>
      <c r="L13" s="451"/>
    </row>
    <row r="14" spans="3:20" x14ac:dyDescent="0.25">
      <c r="C14" s="14" t="s">
        <v>97</v>
      </c>
      <c r="D14" s="19">
        <f>+HT/5</f>
        <v>0.24</v>
      </c>
      <c r="E14" s="189"/>
      <c r="F14" s="189"/>
      <c r="G14" s="189"/>
      <c r="I14" s="189" t="s">
        <v>98</v>
      </c>
      <c r="J14" s="446" t="s">
        <v>98</v>
      </c>
      <c r="K14" s="447"/>
      <c r="L14" s="448"/>
    </row>
    <row r="15" spans="3:20" x14ac:dyDescent="0.25">
      <c r="C15" s="14" t="s">
        <v>99</v>
      </c>
      <c r="D15" s="19">
        <f>+HT/5</f>
        <v>0.24</v>
      </c>
      <c r="E15" s="189"/>
      <c r="F15" s="189"/>
      <c r="G15" s="189"/>
      <c r="J15" s="177"/>
      <c r="L15" s="188"/>
    </row>
    <row r="16" spans="3:20" x14ac:dyDescent="0.25">
      <c r="C16" s="14" t="s">
        <v>100</v>
      </c>
      <c r="D16" s="19">
        <f>+HT/5</f>
        <v>0.24</v>
      </c>
      <c r="E16" s="189"/>
      <c r="F16" s="189"/>
      <c r="G16" s="189"/>
      <c r="J16" s="21"/>
      <c r="K16" s="22"/>
      <c r="L16" s="23"/>
    </row>
    <row r="17" spans="2:14" x14ac:dyDescent="0.25">
      <c r="C17" s="14" t="s">
        <v>101</v>
      </c>
      <c r="D17" s="19">
        <f>+HT/5</f>
        <v>0.24</v>
      </c>
      <c r="E17" s="189"/>
      <c r="F17" s="189"/>
      <c r="G17" s="189"/>
    </row>
    <row r="18" spans="2:14" x14ac:dyDescent="0.25">
      <c r="C18" s="24" t="s">
        <v>75</v>
      </c>
      <c r="D18" s="25">
        <f>+DIA*1.2+0.1</f>
        <v>1.54</v>
      </c>
      <c r="E18" s="189"/>
      <c r="F18" s="189"/>
      <c r="G18" s="189"/>
    </row>
    <row r="19" spans="2:14" x14ac:dyDescent="0.25">
      <c r="J19" s="26"/>
      <c r="L19" s="26"/>
    </row>
    <row r="20" spans="2:14" ht="17.25" customHeight="1" x14ac:dyDescent="0.25">
      <c r="D20" s="139" t="s">
        <v>323</v>
      </c>
      <c r="J20" s="26"/>
      <c r="L20" s="26"/>
    </row>
    <row r="21" spans="2:14" s="28" customFormat="1" ht="15" customHeight="1" x14ac:dyDescent="0.25">
      <c r="D21" s="462" t="s">
        <v>0</v>
      </c>
      <c r="E21" s="463"/>
      <c r="F21" s="463"/>
      <c r="G21" s="463"/>
      <c r="H21" s="464" t="s">
        <v>1</v>
      </c>
      <c r="I21" s="466" t="s">
        <v>11</v>
      </c>
      <c r="J21" s="185">
        <f>D22</f>
        <v>0</v>
      </c>
      <c r="K21" s="29" t="s">
        <v>2</v>
      </c>
      <c r="L21" s="185" t="str">
        <f>E22</f>
        <v>BIS</v>
      </c>
      <c r="M21" s="185" t="str">
        <f>F22</f>
        <v>BIS</v>
      </c>
      <c r="N21" s="185" t="str">
        <f>G22</f>
        <v>BIS</v>
      </c>
    </row>
    <row r="22" spans="2:14" s="28" customFormat="1" ht="15" customHeight="1" x14ac:dyDescent="0.25">
      <c r="B22" s="30"/>
      <c r="C22" s="31" t="s">
        <v>102</v>
      </c>
      <c r="D22" s="185"/>
      <c r="E22" s="185" t="s">
        <v>319</v>
      </c>
      <c r="F22" s="185" t="s">
        <v>319</v>
      </c>
      <c r="G22" s="185" t="s">
        <v>319</v>
      </c>
      <c r="H22" s="465"/>
      <c r="I22" s="466"/>
      <c r="J22" s="185" t="s">
        <v>77</v>
      </c>
      <c r="K22" s="29" t="s">
        <v>77</v>
      </c>
      <c r="L22" s="185" t="s">
        <v>78</v>
      </c>
      <c r="M22" s="185" t="s">
        <v>78</v>
      </c>
      <c r="N22" s="185" t="s">
        <v>78</v>
      </c>
    </row>
    <row r="23" spans="2:14" x14ac:dyDescent="0.25">
      <c r="B23" s="32"/>
      <c r="C23" s="181">
        <v>8</v>
      </c>
      <c r="D23" s="33"/>
      <c r="E23" s="34">
        <v>3</v>
      </c>
      <c r="F23" s="35">
        <f>C23-E23-G23</f>
        <v>4</v>
      </c>
      <c r="G23" s="34">
        <v>1</v>
      </c>
      <c r="H23" s="36" t="s">
        <v>103</v>
      </c>
      <c r="I23" s="37">
        <v>1</v>
      </c>
      <c r="J23" s="38">
        <f>PI()*DIA*D13*I23</f>
        <v>0.90477868423386043</v>
      </c>
      <c r="K23" s="38">
        <f>PI()*DIA*D13</f>
        <v>0.90477868423386043</v>
      </c>
      <c r="L23" s="39">
        <f>K23*E23*I23</f>
        <v>2.7143360527015812</v>
      </c>
      <c r="M23" s="39">
        <f>K23*F23*I23</f>
        <v>3.6191147369354417</v>
      </c>
      <c r="N23" s="39">
        <f>K23*G23*I23</f>
        <v>0.90477868423386043</v>
      </c>
    </row>
    <row r="24" spans="2:14" x14ac:dyDescent="0.25">
      <c r="B24" s="32"/>
      <c r="C24" s="374">
        <v>8</v>
      </c>
      <c r="D24" s="33"/>
      <c r="E24" s="34">
        <v>3</v>
      </c>
      <c r="F24" s="35">
        <f t="shared" ref="F24:F36" si="0">C24-E24-G24</f>
        <v>4</v>
      </c>
      <c r="G24" s="34">
        <v>1</v>
      </c>
      <c r="H24" s="36" t="s">
        <v>104</v>
      </c>
      <c r="I24" s="37">
        <v>1</v>
      </c>
      <c r="J24" s="38">
        <f>PI()*DIA*B.M.S.H*I24</f>
        <v>0.90477868423386043</v>
      </c>
      <c r="K24" s="38">
        <f>PI()*DIA*B.M.S.H</f>
        <v>0.90477868423386043</v>
      </c>
      <c r="L24" s="39">
        <f t="shared" ref="L24:L30" si="1">K24*E24*I24</f>
        <v>2.7143360527015812</v>
      </c>
      <c r="M24" s="39">
        <f t="shared" ref="M24:M36" si="2">K24*F24*I24</f>
        <v>3.6191147369354417</v>
      </c>
      <c r="N24" s="39">
        <f t="shared" ref="N24:N31" si="3">K24*G24*I24</f>
        <v>0.90477868423386043</v>
      </c>
    </row>
    <row r="25" spans="2:14" x14ac:dyDescent="0.25">
      <c r="B25" s="32"/>
      <c r="C25" s="374">
        <v>8</v>
      </c>
      <c r="D25" s="33"/>
      <c r="E25" s="34">
        <v>3</v>
      </c>
      <c r="F25" s="35">
        <f t="shared" si="0"/>
        <v>4</v>
      </c>
      <c r="G25" s="34">
        <v>1</v>
      </c>
      <c r="H25" s="36" t="s">
        <v>105</v>
      </c>
      <c r="I25" s="37">
        <v>1</v>
      </c>
      <c r="J25" s="38">
        <f>PI()*DIA*M.S.H*I25</f>
        <v>0.90477868423386043</v>
      </c>
      <c r="K25" s="38">
        <f>PI()*DIA*M.S.H</f>
        <v>0.90477868423386043</v>
      </c>
      <c r="L25" s="39">
        <f t="shared" si="1"/>
        <v>2.7143360527015812</v>
      </c>
      <c r="M25" s="39">
        <f t="shared" si="2"/>
        <v>3.6191147369354417</v>
      </c>
      <c r="N25" s="39">
        <f t="shared" si="3"/>
        <v>0.90477868423386043</v>
      </c>
    </row>
    <row r="26" spans="2:14" x14ac:dyDescent="0.25">
      <c r="B26" s="32"/>
      <c r="C26" s="374">
        <v>8</v>
      </c>
      <c r="D26" s="33"/>
      <c r="E26" s="34">
        <v>3</v>
      </c>
      <c r="F26" s="35">
        <f t="shared" si="0"/>
        <v>4</v>
      </c>
      <c r="G26" s="34">
        <v>1</v>
      </c>
      <c r="H26" s="36" t="s">
        <v>106</v>
      </c>
      <c r="I26" s="37">
        <v>1</v>
      </c>
      <c r="J26" s="38">
        <f>PI()*DIA*T.M.S.H*I26</f>
        <v>0.90477868423386043</v>
      </c>
      <c r="K26" s="38">
        <f>PI()*DIA*T.M.S.H</f>
        <v>0.90477868423386043</v>
      </c>
      <c r="L26" s="39">
        <f t="shared" si="1"/>
        <v>2.7143360527015812</v>
      </c>
      <c r="M26" s="39">
        <f t="shared" si="2"/>
        <v>3.6191147369354417</v>
      </c>
      <c r="N26" s="39">
        <f t="shared" si="3"/>
        <v>0.90477868423386043</v>
      </c>
    </row>
    <row r="27" spans="2:14" x14ac:dyDescent="0.25">
      <c r="B27" s="32"/>
      <c r="C27" s="374">
        <v>8</v>
      </c>
      <c r="D27" s="33"/>
      <c r="E27" s="34">
        <v>3</v>
      </c>
      <c r="F27" s="35">
        <f t="shared" si="0"/>
        <v>4</v>
      </c>
      <c r="G27" s="34">
        <v>1</v>
      </c>
      <c r="H27" s="36" t="s">
        <v>107</v>
      </c>
      <c r="I27" s="37">
        <v>1</v>
      </c>
      <c r="J27" s="38">
        <f>PI()*DIA*T.S.H*I27</f>
        <v>0.90477868423386043</v>
      </c>
      <c r="K27" s="38">
        <f>PI()*DIA*T.S.H</f>
        <v>0.90477868423386043</v>
      </c>
      <c r="L27" s="39">
        <f t="shared" si="1"/>
        <v>2.7143360527015812</v>
      </c>
      <c r="M27" s="39">
        <f t="shared" si="2"/>
        <v>3.6191147369354417</v>
      </c>
      <c r="N27" s="39">
        <f t="shared" si="3"/>
        <v>0.90477868423386043</v>
      </c>
    </row>
    <row r="28" spans="2:14" hidden="1" x14ac:dyDescent="0.25">
      <c r="B28" s="32"/>
      <c r="C28" s="374">
        <v>8</v>
      </c>
      <c r="D28" s="33"/>
      <c r="E28" s="40">
        <v>0</v>
      </c>
      <c r="F28" s="40">
        <v>0</v>
      </c>
      <c r="G28" s="40">
        <v>0</v>
      </c>
      <c r="H28" s="41" t="s">
        <v>108</v>
      </c>
      <c r="I28" s="42">
        <v>1</v>
      </c>
      <c r="J28" s="43">
        <f>((DIA^2)/(COS(ANGLE*PI()/180)))*I28</f>
        <v>1.4907976997905195</v>
      </c>
      <c r="K28" s="43">
        <f>PI()/4*((DIA^2)/(COS(ANGLE*PI()/180)))</f>
        <v>1.1708697754126145</v>
      </c>
      <c r="L28" s="39">
        <f t="shared" si="1"/>
        <v>0</v>
      </c>
      <c r="M28" s="39">
        <f t="shared" si="2"/>
        <v>0</v>
      </c>
      <c r="N28" s="39">
        <f t="shared" si="3"/>
        <v>0</v>
      </c>
    </row>
    <row r="29" spans="2:14" x14ac:dyDescent="0.25">
      <c r="B29" s="32"/>
      <c r="C29" s="374">
        <v>8</v>
      </c>
      <c r="D29" s="33"/>
      <c r="E29" s="34">
        <v>3</v>
      </c>
      <c r="F29" s="35">
        <f t="shared" si="0"/>
        <v>4</v>
      </c>
      <c r="G29" s="34">
        <v>1</v>
      </c>
      <c r="H29" s="36" t="s">
        <v>109</v>
      </c>
      <c r="I29" s="37">
        <v>1</v>
      </c>
      <c r="J29" s="38">
        <f>(DIA^2)*I29</f>
        <v>1.44</v>
      </c>
      <c r="K29" s="38">
        <f>(PI()/4)*(DIA^2)</f>
        <v>1.1309733552923256</v>
      </c>
      <c r="L29" s="39">
        <f>K29*E29*I29</f>
        <v>3.3929200658769769</v>
      </c>
      <c r="M29" s="39">
        <f t="shared" si="2"/>
        <v>4.5238934211693023</v>
      </c>
      <c r="N29" s="39">
        <f t="shared" si="3"/>
        <v>1.1309733552923256</v>
      </c>
    </row>
    <row r="30" spans="2:14" x14ac:dyDescent="0.25">
      <c r="B30" s="32"/>
      <c r="C30" s="181">
        <v>20</v>
      </c>
      <c r="D30" s="33"/>
      <c r="E30" s="34">
        <v>3</v>
      </c>
      <c r="F30" s="35">
        <f t="shared" si="0"/>
        <v>16</v>
      </c>
      <c r="G30" s="34">
        <v>1</v>
      </c>
      <c r="H30" s="36" t="s">
        <v>110</v>
      </c>
      <c r="I30" s="37">
        <v>1</v>
      </c>
      <c r="J30" s="44">
        <f>((DIA+0.2)^2)*I30</f>
        <v>1.9599999999999997</v>
      </c>
      <c r="K30" s="44">
        <f>((PI()/4)*((DIA+0.2)^2-DIA^2))</f>
        <v>0.40840704496667296</v>
      </c>
      <c r="L30" s="39">
        <f t="shared" si="1"/>
        <v>1.2252211349000188</v>
      </c>
      <c r="M30" s="39">
        <f t="shared" si="2"/>
        <v>6.5345127194667674</v>
      </c>
      <c r="N30" s="39">
        <f t="shared" si="3"/>
        <v>0.40840704496667296</v>
      </c>
    </row>
    <row r="31" spans="2:14" x14ac:dyDescent="0.25">
      <c r="B31" s="32"/>
      <c r="C31" s="181">
        <v>20</v>
      </c>
      <c r="D31" s="33"/>
      <c r="E31" s="34">
        <v>3</v>
      </c>
      <c r="F31" s="35">
        <f t="shared" si="0"/>
        <v>16</v>
      </c>
      <c r="G31" s="34">
        <v>1</v>
      </c>
      <c r="H31" s="36" t="s">
        <v>76</v>
      </c>
      <c r="I31" s="37">
        <v>1</v>
      </c>
      <c r="J31" s="44">
        <f>((DIA+0.2)^2)*I31</f>
        <v>1.9599999999999997</v>
      </c>
      <c r="K31" s="44">
        <f>((PI()/4)*((DIA+0.2)^2))</f>
        <v>1.5393804002589984</v>
      </c>
      <c r="L31" s="39">
        <f>K31*E31*I31</f>
        <v>4.6181412007769946</v>
      </c>
      <c r="M31" s="39">
        <f t="shared" si="2"/>
        <v>24.630086404143974</v>
      </c>
      <c r="N31" s="39">
        <f t="shared" si="3"/>
        <v>1.5393804002589984</v>
      </c>
    </row>
    <row r="32" spans="2:14" x14ac:dyDescent="0.25">
      <c r="B32" s="45"/>
      <c r="C32" s="181">
        <f>CEILING((C31+C23)*0.5,1)</f>
        <v>14</v>
      </c>
      <c r="D32" s="46"/>
      <c r="E32" s="46"/>
      <c r="F32" s="35">
        <f t="shared" si="0"/>
        <v>14</v>
      </c>
      <c r="G32" s="46"/>
      <c r="H32" s="36" t="s">
        <v>111</v>
      </c>
      <c r="I32" s="37">
        <v>1</v>
      </c>
      <c r="J32" s="46"/>
      <c r="K32" s="38">
        <f>PI()*DIA*(2*2*SQRT(DIA*((C32)/1000/2)))</f>
        <v>1.3820722692280711</v>
      </c>
      <c r="L32" s="46"/>
      <c r="M32" s="39">
        <f t="shared" si="2"/>
        <v>19.349011769192995</v>
      </c>
      <c r="N32" s="46"/>
    </row>
    <row r="33" spans="2:31" x14ac:dyDescent="0.25">
      <c r="B33" s="45"/>
      <c r="C33" s="243">
        <f>CEILING((C31+C27)*0.5,1)</f>
        <v>14</v>
      </c>
      <c r="D33" s="46"/>
      <c r="E33" s="46"/>
      <c r="F33" s="35">
        <f t="shared" si="0"/>
        <v>14</v>
      </c>
      <c r="G33" s="46"/>
      <c r="H33" s="36" t="s">
        <v>112</v>
      </c>
      <c r="I33" s="37">
        <v>1</v>
      </c>
      <c r="J33" s="46"/>
      <c r="K33" s="38">
        <f>PI()*DIA*(2*2*SQRT(DIA*((C33)/1000/2)))</f>
        <v>1.3820722692280711</v>
      </c>
      <c r="L33" s="46"/>
      <c r="M33" s="39">
        <f t="shared" si="2"/>
        <v>19.349011769192995</v>
      </c>
      <c r="N33" s="46"/>
    </row>
    <row r="34" spans="2:31" hidden="1" x14ac:dyDescent="0.25">
      <c r="B34" s="45"/>
      <c r="C34" s="40">
        <v>0</v>
      </c>
      <c r="D34" s="47"/>
      <c r="E34" s="47"/>
      <c r="F34" s="42">
        <f t="shared" si="0"/>
        <v>0</v>
      </c>
      <c r="G34" s="47"/>
      <c r="H34" s="41" t="s">
        <v>113</v>
      </c>
      <c r="I34" s="42">
        <v>1</v>
      </c>
      <c r="J34" s="47"/>
      <c r="K34" s="48">
        <f>PI()*DIA*0.45</f>
        <v>1.6964600329384882</v>
      </c>
      <c r="L34" s="47"/>
      <c r="M34" s="39">
        <f t="shared" si="2"/>
        <v>0</v>
      </c>
      <c r="N34" s="46"/>
    </row>
    <row r="35" spans="2:31" hidden="1" x14ac:dyDescent="0.25">
      <c r="B35" s="16"/>
      <c r="C35" s="181">
        <v>0</v>
      </c>
      <c r="D35" s="46"/>
      <c r="E35" s="46"/>
      <c r="F35" s="35">
        <f t="shared" si="0"/>
        <v>0</v>
      </c>
      <c r="G35" s="46"/>
      <c r="H35" s="36" t="s">
        <v>114</v>
      </c>
      <c r="I35" s="37">
        <v>0</v>
      </c>
      <c r="J35" s="46"/>
      <c r="K35" s="38">
        <f>(DIA)/(COS(ANGLE*PI()/180))*((50+75+75+75+50)/1000)</f>
        <v>0.40375771035993235</v>
      </c>
      <c r="L35" s="46"/>
      <c r="M35" s="39">
        <f t="shared" si="2"/>
        <v>0</v>
      </c>
      <c r="N35" s="46"/>
    </row>
    <row r="36" spans="2:31" hidden="1" x14ac:dyDescent="0.25">
      <c r="B36" s="16"/>
      <c r="C36" s="49">
        <v>0</v>
      </c>
      <c r="D36" s="46"/>
      <c r="E36" s="46"/>
      <c r="F36" s="50">
        <f t="shared" si="0"/>
        <v>0</v>
      </c>
      <c r="G36" s="46"/>
      <c r="H36" s="51" t="s">
        <v>115</v>
      </c>
      <c r="I36" s="50">
        <v>0</v>
      </c>
      <c r="J36" s="46"/>
      <c r="K36" s="52">
        <f>PI()*DIA*0.4</f>
        <v>1.5079644737231008</v>
      </c>
      <c r="L36" s="46"/>
      <c r="M36" s="39">
        <f t="shared" si="2"/>
        <v>0</v>
      </c>
      <c r="N36" s="46"/>
    </row>
    <row r="37" spans="2:31" x14ac:dyDescent="0.25">
      <c r="C37" s="53"/>
      <c r="P37" s="54"/>
      <c r="Q37" s="54"/>
      <c r="R37" s="54"/>
      <c r="S37" s="54"/>
      <c r="T37" s="54"/>
      <c r="U37" s="54"/>
      <c r="V37" s="439" t="s">
        <v>52</v>
      </c>
      <c r="W37" s="440"/>
      <c r="X37" s="439" t="s">
        <v>53</v>
      </c>
      <c r="Y37" s="440"/>
      <c r="Z37" s="439" t="s">
        <v>54</v>
      </c>
      <c r="AA37" s="440"/>
      <c r="AB37" s="439" t="s">
        <v>55</v>
      </c>
      <c r="AC37" s="440"/>
      <c r="AD37" s="439" t="s">
        <v>57</v>
      </c>
      <c r="AE37" s="440"/>
    </row>
    <row r="38" spans="2:31" hidden="1" x14ac:dyDescent="0.25">
      <c r="P38" s="54"/>
      <c r="Q38" s="54" t="s">
        <v>7</v>
      </c>
      <c r="R38" s="54" t="s">
        <v>6</v>
      </c>
      <c r="S38" s="54" t="s">
        <v>9</v>
      </c>
      <c r="T38" s="54" t="s">
        <v>10</v>
      </c>
      <c r="U38" s="54" t="s">
        <v>8</v>
      </c>
      <c r="V38" s="54" t="s">
        <v>4</v>
      </c>
      <c r="W38" s="54" t="s">
        <v>3</v>
      </c>
      <c r="X38" s="54" t="s">
        <v>4</v>
      </c>
      <c r="Y38" s="54" t="s">
        <v>3</v>
      </c>
      <c r="Z38" s="54" t="s">
        <v>56</v>
      </c>
      <c r="AA38" s="54" t="s">
        <v>3</v>
      </c>
      <c r="AB38" s="54" t="s">
        <v>4</v>
      </c>
      <c r="AC38" s="54" t="s">
        <v>3</v>
      </c>
      <c r="AD38" s="54" t="s">
        <v>59</v>
      </c>
      <c r="AE38" s="54" t="s">
        <v>58</v>
      </c>
    </row>
    <row r="39" spans="2:31" hidden="1" x14ac:dyDescent="0.25">
      <c r="P39" s="54" t="s">
        <v>29</v>
      </c>
      <c r="Q39" s="54" t="s">
        <v>29</v>
      </c>
      <c r="R39" s="54">
        <v>0</v>
      </c>
      <c r="S39" s="54">
        <v>0</v>
      </c>
      <c r="T39" s="54">
        <v>0</v>
      </c>
      <c r="U39" s="55">
        <f t="shared" ref="U39:U57" si="4">((PI()/4)*(T39^2-R39^2))+(PI()*R39*S39)</f>
        <v>0</v>
      </c>
      <c r="V39" s="54">
        <v>5</v>
      </c>
      <c r="W39" s="54">
        <v>12</v>
      </c>
      <c r="X39" s="54">
        <v>5</v>
      </c>
      <c r="Y39" s="54">
        <v>5</v>
      </c>
      <c r="Z39" s="55">
        <f t="shared" ref="Z39:Z57" si="5">(T39^2)*CEILING(V39/4,1)</f>
        <v>0</v>
      </c>
      <c r="AA39" s="55">
        <f t="shared" ref="AA39:AA57" si="6">((PI()/4)*(T39^2-R39^2))*W39</f>
        <v>0</v>
      </c>
      <c r="AB39" s="55">
        <f t="shared" ref="AB39:AB57" si="7">+(PI()*R39*S39)*CEILING(X39/3,1)</f>
        <v>0</v>
      </c>
      <c r="AC39" s="55">
        <f t="shared" ref="AC39:AC57" si="8">+(PI()*R39*S39)*Y39</f>
        <v>0</v>
      </c>
      <c r="AD39" s="55">
        <f t="shared" ref="AD39:AE57" si="9">+Z39+AB39</f>
        <v>0</v>
      </c>
      <c r="AE39" s="55">
        <f t="shared" si="9"/>
        <v>0</v>
      </c>
    </row>
    <row r="40" spans="2:31" x14ac:dyDescent="0.25">
      <c r="D40" s="46"/>
      <c r="E40" s="46"/>
      <c r="F40" s="46"/>
      <c r="G40" s="46"/>
      <c r="H40" s="56" t="s">
        <v>24</v>
      </c>
      <c r="I40" s="37">
        <v>4</v>
      </c>
      <c r="J40" s="38">
        <f t="shared" ref="J40:J57" si="10">LOOKUP(H40,NOZZLE1,PP_AREA)*I40</f>
        <v>0.27982844737231005</v>
      </c>
      <c r="K40" s="39"/>
      <c r="L40" s="216">
        <v>1.39</v>
      </c>
      <c r="M40" s="179">
        <f>L40*I40</f>
        <v>5.56</v>
      </c>
      <c r="P40" s="54" t="s">
        <v>22</v>
      </c>
      <c r="Q40" s="54" t="s">
        <v>22</v>
      </c>
      <c r="R40" s="54">
        <v>1.4999999999999999E-2</v>
      </c>
      <c r="S40" s="54">
        <v>0.15</v>
      </c>
      <c r="T40" s="54">
        <v>8.8999999999999996E-2</v>
      </c>
      <c r="U40" s="55">
        <f t="shared" si="4"/>
        <v>1.3113007736083794E-2</v>
      </c>
      <c r="V40" s="54">
        <v>5</v>
      </c>
      <c r="W40" s="54">
        <v>12</v>
      </c>
      <c r="X40" s="54">
        <v>5</v>
      </c>
      <c r="Y40" s="54">
        <v>5</v>
      </c>
      <c r="Z40" s="55">
        <f t="shared" si="5"/>
        <v>1.5841999999999998E-2</v>
      </c>
      <c r="AA40" s="55">
        <f t="shared" si="6"/>
        <v>7.2533091186081131E-2</v>
      </c>
      <c r="AB40" s="55">
        <f t="shared" si="7"/>
        <v>1.4137166941154067E-2</v>
      </c>
      <c r="AC40" s="55">
        <f t="shared" si="8"/>
        <v>3.5342917352885167E-2</v>
      </c>
      <c r="AD40" s="55">
        <f t="shared" si="9"/>
        <v>2.9979166941154066E-2</v>
      </c>
      <c r="AE40" s="55">
        <f t="shared" si="9"/>
        <v>0.1078760085389663</v>
      </c>
    </row>
    <row r="41" spans="2:31" x14ac:dyDescent="0.25">
      <c r="D41" s="46"/>
      <c r="E41" s="46"/>
      <c r="F41" s="46"/>
      <c r="G41" s="46"/>
      <c r="H41" s="56" t="s">
        <v>25</v>
      </c>
      <c r="I41" s="37">
        <v>2</v>
      </c>
      <c r="J41" s="38">
        <f t="shared" si="10"/>
        <v>0.18666377960769379</v>
      </c>
      <c r="K41" s="39"/>
      <c r="L41" s="216">
        <v>1.7</v>
      </c>
      <c r="M41" s="179">
        <f>L41*I41</f>
        <v>3.4</v>
      </c>
      <c r="P41" s="54" t="s">
        <v>23</v>
      </c>
      <c r="Q41" s="54" t="s">
        <v>23</v>
      </c>
      <c r="R41" s="54">
        <v>0.02</v>
      </c>
      <c r="S41" s="54">
        <v>0.15</v>
      </c>
      <c r="T41" s="54">
        <v>9.8000000000000004E-2</v>
      </c>
      <c r="U41" s="55">
        <f t="shared" si="4"/>
        <v>1.6653582656679496E-2</v>
      </c>
      <c r="V41" s="54">
        <v>5</v>
      </c>
      <c r="W41" s="54">
        <v>12</v>
      </c>
      <c r="X41" s="54">
        <v>5</v>
      </c>
      <c r="Y41" s="54">
        <v>5</v>
      </c>
      <c r="Z41" s="55">
        <f t="shared" si="5"/>
        <v>1.9208000000000003E-2</v>
      </c>
      <c r="AA41" s="55">
        <f t="shared" si="6"/>
        <v>8.674565635092138E-2</v>
      </c>
      <c r="AB41" s="55">
        <f t="shared" si="7"/>
        <v>1.8849555921538759E-2</v>
      </c>
      <c r="AC41" s="55">
        <f t="shared" si="8"/>
        <v>4.7123889803846894E-2</v>
      </c>
      <c r="AD41" s="55">
        <f t="shared" si="9"/>
        <v>3.8057555921538762E-2</v>
      </c>
      <c r="AE41" s="55">
        <f t="shared" si="9"/>
        <v>0.13386954615476826</v>
      </c>
    </row>
    <row r="42" spans="2:31" x14ac:dyDescent="0.25">
      <c r="D42" s="46"/>
      <c r="E42" s="46"/>
      <c r="F42" s="46"/>
      <c r="G42" s="46"/>
      <c r="H42" s="56" t="s">
        <v>30</v>
      </c>
      <c r="I42" s="37">
        <v>3</v>
      </c>
      <c r="J42" s="38">
        <f t="shared" si="10"/>
        <v>0.59738933882308132</v>
      </c>
      <c r="K42" s="39"/>
      <c r="L42" s="216">
        <v>1.9</v>
      </c>
      <c r="M42" s="179">
        <f t="shared" ref="M42:M44" si="11">L42*I42</f>
        <v>5.6999999999999993</v>
      </c>
      <c r="P42" s="54" t="s">
        <v>28</v>
      </c>
      <c r="Q42" s="54" t="s">
        <v>28</v>
      </c>
      <c r="R42" s="54">
        <v>2.5000000000000001E-2</v>
      </c>
      <c r="S42" s="54">
        <v>0.15</v>
      </c>
      <c r="T42" s="54">
        <v>0.108</v>
      </c>
      <c r="U42" s="55">
        <f t="shared" si="4"/>
        <v>2.0450982776706154E-2</v>
      </c>
      <c r="V42" s="54">
        <v>5</v>
      </c>
      <c r="W42" s="54">
        <v>12</v>
      </c>
      <c r="X42" s="54">
        <v>5</v>
      </c>
      <c r="Y42" s="54">
        <v>5</v>
      </c>
      <c r="Z42" s="55">
        <f t="shared" si="5"/>
        <v>2.3327999999999998E-2</v>
      </c>
      <c r="AA42" s="55">
        <f t="shared" si="6"/>
        <v>0.10404012390893316</v>
      </c>
      <c r="AB42" s="55">
        <f t="shared" si="7"/>
        <v>2.3561944901923447E-2</v>
      </c>
      <c r="AC42" s="55">
        <f t="shared" si="8"/>
        <v>5.8904862254808621E-2</v>
      </c>
      <c r="AD42" s="55">
        <f t="shared" si="9"/>
        <v>4.6889944901923442E-2</v>
      </c>
      <c r="AE42" s="55">
        <f t="shared" si="9"/>
        <v>0.16294498616374178</v>
      </c>
    </row>
    <row r="43" spans="2:31" hidden="1" x14ac:dyDescent="0.25">
      <c r="D43" s="46"/>
      <c r="E43" s="46"/>
      <c r="F43" s="46"/>
      <c r="G43" s="46"/>
      <c r="H43" s="56" t="s">
        <v>30</v>
      </c>
      <c r="I43" s="37">
        <v>0</v>
      </c>
      <c r="J43" s="38">
        <f t="shared" si="10"/>
        <v>0</v>
      </c>
      <c r="K43" s="39"/>
      <c r="L43" s="57">
        <v>1.55</v>
      </c>
      <c r="M43" s="181">
        <f t="shared" si="11"/>
        <v>0</v>
      </c>
      <c r="P43" s="54" t="s">
        <v>24</v>
      </c>
      <c r="Q43" s="54" t="s">
        <v>24</v>
      </c>
      <c r="R43" s="54">
        <v>0.04</v>
      </c>
      <c r="S43" s="54">
        <v>0.15</v>
      </c>
      <c r="T43" s="54">
        <v>0.127</v>
      </c>
      <c r="U43" s="55">
        <f t="shared" si="4"/>
        <v>3.0260605837540283E-2</v>
      </c>
      <c r="V43" s="54">
        <v>5</v>
      </c>
      <c r="W43" s="54">
        <v>15</v>
      </c>
      <c r="X43" s="54">
        <v>5</v>
      </c>
      <c r="Y43" s="54">
        <v>6</v>
      </c>
      <c r="Z43" s="55">
        <f t="shared" si="5"/>
        <v>3.2258000000000002E-2</v>
      </c>
      <c r="AA43" s="55">
        <f t="shared" si="6"/>
        <v>0.17116574874002288</v>
      </c>
      <c r="AB43" s="55">
        <f t="shared" si="7"/>
        <v>3.7699111843077518E-2</v>
      </c>
      <c r="AC43" s="55">
        <f t="shared" si="8"/>
        <v>0.11309733552923255</v>
      </c>
      <c r="AD43" s="55">
        <f t="shared" si="9"/>
        <v>6.9957111843077513E-2</v>
      </c>
      <c r="AE43" s="55">
        <f t="shared" si="9"/>
        <v>0.28426308426925545</v>
      </c>
    </row>
    <row r="44" spans="2:31" ht="18.75" hidden="1" customHeight="1" x14ac:dyDescent="0.25">
      <c r="D44" s="46"/>
      <c r="E44" s="46"/>
      <c r="F44" s="46"/>
      <c r="G44" s="46"/>
      <c r="H44" s="56" t="s">
        <v>19</v>
      </c>
      <c r="I44" s="37">
        <v>0</v>
      </c>
      <c r="J44" s="38">
        <f t="shared" si="10"/>
        <v>0</v>
      </c>
      <c r="K44" s="39"/>
      <c r="L44" s="57">
        <v>7.34</v>
      </c>
      <c r="M44" s="181">
        <f t="shared" si="11"/>
        <v>0</v>
      </c>
      <c r="P44" s="54" t="s">
        <v>25</v>
      </c>
      <c r="Q44" s="54" t="s">
        <v>25</v>
      </c>
      <c r="R44" s="54">
        <v>0.05</v>
      </c>
      <c r="S44" s="54">
        <v>0.15</v>
      </c>
      <c r="T44" s="54">
        <v>0.152</v>
      </c>
      <c r="U44" s="55">
        <f t="shared" si="4"/>
        <v>3.9744288660564467E-2</v>
      </c>
      <c r="V44" s="54">
        <v>5</v>
      </c>
      <c r="W44" s="54">
        <v>15</v>
      </c>
      <c r="X44" s="54">
        <v>5</v>
      </c>
      <c r="Y44" s="54">
        <v>6</v>
      </c>
      <c r="Z44" s="55">
        <f t="shared" si="5"/>
        <v>4.6207999999999999E-2</v>
      </c>
      <c r="AA44" s="55">
        <f t="shared" si="6"/>
        <v>0.24273515637961535</v>
      </c>
      <c r="AB44" s="55">
        <f t="shared" si="7"/>
        <v>4.7123889803846894E-2</v>
      </c>
      <c r="AC44" s="55">
        <f t="shared" si="8"/>
        <v>0.14137166941154067</v>
      </c>
      <c r="AD44" s="55">
        <f t="shared" si="9"/>
        <v>9.3331889803846893E-2</v>
      </c>
      <c r="AE44" s="55">
        <f t="shared" si="9"/>
        <v>0.38410682579115601</v>
      </c>
    </row>
    <row r="45" spans="2:31" hidden="1" x14ac:dyDescent="0.25">
      <c r="D45" s="46"/>
      <c r="E45" s="46"/>
      <c r="F45" s="46"/>
      <c r="G45" s="46"/>
      <c r="H45" s="56" t="s">
        <v>20</v>
      </c>
      <c r="I45" s="37">
        <v>0</v>
      </c>
      <c r="J45" s="38">
        <f t="shared" si="10"/>
        <v>0</v>
      </c>
      <c r="K45" s="39"/>
      <c r="L45" s="58"/>
      <c r="M45" s="181" t="s">
        <v>116</v>
      </c>
      <c r="P45" s="54" t="s">
        <v>26</v>
      </c>
      <c r="Q45" s="54" t="s">
        <v>26</v>
      </c>
      <c r="R45" s="54">
        <v>6.5000000000000002E-2</v>
      </c>
      <c r="S45" s="54">
        <v>0.15</v>
      </c>
      <c r="T45" s="54">
        <v>0.17799999999999999</v>
      </c>
      <c r="U45" s="55">
        <f t="shared" si="4"/>
        <v>5.2196776541231012E-2</v>
      </c>
      <c r="V45" s="54">
        <v>5</v>
      </c>
      <c r="W45" s="54">
        <v>18</v>
      </c>
      <c r="X45" s="54">
        <v>5</v>
      </c>
      <c r="Y45" s="54">
        <v>6</v>
      </c>
      <c r="Z45" s="55">
        <f t="shared" si="5"/>
        <v>6.3367999999999994E-2</v>
      </c>
      <c r="AA45" s="55">
        <f t="shared" si="6"/>
        <v>0.38819246703714955</v>
      </c>
      <c r="AB45" s="55">
        <f t="shared" si="7"/>
        <v>6.1261056745000965E-2</v>
      </c>
      <c r="AC45" s="55">
        <f t="shared" si="8"/>
        <v>0.1837831702350029</v>
      </c>
      <c r="AD45" s="55">
        <f t="shared" si="9"/>
        <v>0.12462905674500097</v>
      </c>
      <c r="AE45" s="55">
        <f t="shared" si="9"/>
        <v>0.5719756372721525</v>
      </c>
    </row>
    <row r="46" spans="2:31" hidden="1" x14ac:dyDescent="0.25">
      <c r="D46" s="46"/>
      <c r="E46" s="46"/>
      <c r="F46" s="46"/>
      <c r="G46" s="46"/>
      <c r="H46" s="56" t="s">
        <v>21</v>
      </c>
      <c r="I46" s="37">
        <v>0</v>
      </c>
      <c r="J46" s="38">
        <f t="shared" si="10"/>
        <v>0</v>
      </c>
      <c r="K46" s="39"/>
      <c r="L46" s="58"/>
      <c r="P46" s="54" t="s">
        <v>27</v>
      </c>
      <c r="Q46" s="54" t="s">
        <v>27</v>
      </c>
      <c r="R46" s="54">
        <v>0.08</v>
      </c>
      <c r="S46" s="54">
        <v>0.15</v>
      </c>
      <c r="T46" s="54">
        <v>0.191</v>
      </c>
      <c r="U46" s="55">
        <f t="shared" si="4"/>
        <v>6.1324673996236159E-2</v>
      </c>
      <c r="V46" s="54">
        <v>5</v>
      </c>
      <c r="W46" s="54">
        <v>18</v>
      </c>
      <c r="X46" s="54">
        <v>5</v>
      </c>
      <c r="Y46" s="54">
        <v>7</v>
      </c>
      <c r="Z46" s="55">
        <f t="shared" si="5"/>
        <v>7.2961999999999999E-2</v>
      </c>
      <c r="AA46" s="55">
        <f t="shared" si="6"/>
        <v>0.42526011875685554</v>
      </c>
      <c r="AB46" s="55">
        <f t="shared" si="7"/>
        <v>7.5398223686155036E-2</v>
      </c>
      <c r="AC46" s="55">
        <f t="shared" si="8"/>
        <v>0.26389378290154264</v>
      </c>
      <c r="AD46" s="55">
        <f t="shared" si="9"/>
        <v>0.14836022368615503</v>
      </c>
      <c r="AE46" s="55">
        <f t="shared" si="9"/>
        <v>0.68915390165839818</v>
      </c>
    </row>
    <row r="47" spans="2:31" hidden="1" x14ac:dyDescent="0.25">
      <c r="D47" s="46"/>
      <c r="E47" s="46"/>
      <c r="F47" s="46"/>
      <c r="G47" s="46"/>
      <c r="H47" s="56" t="s">
        <v>21</v>
      </c>
      <c r="I47" s="37">
        <v>0</v>
      </c>
      <c r="J47" s="38">
        <f t="shared" si="10"/>
        <v>0</v>
      </c>
      <c r="K47" s="39"/>
      <c r="L47" s="58"/>
      <c r="P47" s="54" t="s">
        <v>30</v>
      </c>
      <c r="Q47" s="54" t="s">
        <v>30</v>
      </c>
      <c r="R47" s="54">
        <v>0.1</v>
      </c>
      <c r="S47" s="54">
        <v>0.15</v>
      </c>
      <c r="T47" s="54">
        <v>0.22900000000000001</v>
      </c>
      <c r="U47" s="55">
        <f t="shared" si="4"/>
        <v>8.0456973256597994E-2</v>
      </c>
      <c r="V47" s="54">
        <v>5</v>
      </c>
      <c r="W47" s="54">
        <v>20</v>
      </c>
      <c r="X47" s="54">
        <v>5</v>
      </c>
      <c r="Y47" s="54">
        <v>7</v>
      </c>
      <c r="Z47" s="55">
        <f t="shared" si="5"/>
        <v>0.104882</v>
      </c>
      <c r="AA47" s="55">
        <f t="shared" si="6"/>
        <v>0.666661669055022</v>
      </c>
      <c r="AB47" s="55">
        <f t="shared" si="7"/>
        <v>9.4247779607693788E-2</v>
      </c>
      <c r="AC47" s="55">
        <f t="shared" si="8"/>
        <v>0.32986722862692824</v>
      </c>
      <c r="AD47" s="55">
        <f t="shared" si="9"/>
        <v>0.19912977960769379</v>
      </c>
      <c r="AE47" s="55">
        <f t="shared" si="9"/>
        <v>0.99652889768195019</v>
      </c>
    </row>
    <row r="48" spans="2:31" hidden="1" x14ac:dyDescent="0.25">
      <c r="D48" s="46"/>
      <c r="E48" s="46"/>
      <c r="F48" s="46"/>
      <c r="G48" s="46"/>
      <c r="H48" s="56" t="s">
        <v>18</v>
      </c>
      <c r="I48" s="37">
        <v>0</v>
      </c>
      <c r="J48" s="38">
        <f t="shared" si="10"/>
        <v>0</v>
      </c>
      <c r="K48" s="39"/>
      <c r="L48" s="58"/>
      <c r="P48" s="54" t="s">
        <v>12</v>
      </c>
      <c r="Q48" s="54" t="s">
        <v>12</v>
      </c>
      <c r="R48" s="54">
        <v>0.125</v>
      </c>
      <c r="S48" s="54">
        <v>0.15</v>
      </c>
      <c r="T48" s="54">
        <v>0.254</v>
      </c>
      <c r="U48" s="55">
        <f t="shared" si="4"/>
        <v>9.7303763861473269E-2</v>
      </c>
      <c r="V48" s="54">
        <v>5</v>
      </c>
      <c r="W48" s="54">
        <v>20</v>
      </c>
      <c r="X48" s="54">
        <v>5</v>
      </c>
      <c r="Y48" s="54">
        <v>7</v>
      </c>
      <c r="Z48" s="55">
        <f t="shared" si="5"/>
        <v>0.12903200000000001</v>
      </c>
      <c r="AA48" s="55">
        <f t="shared" si="6"/>
        <v>0.76797803213329296</v>
      </c>
      <c r="AB48" s="55">
        <f t="shared" si="7"/>
        <v>0.11780972450961724</v>
      </c>
      <c r="AC48" s="55">
        <f t="shared" si="8"/>
        <v>0.41233403578366035</v>
      </c>
      <c r="AD48" s="55">
        <f t="shared" si="9"/>
        <v>0.24684172450961725</v>
      </c>
      <c r="AE48" s="55">
        <f t="shared" si="9"/>
        <v>1.1803120679169532</v>
      </c>
    </row>
    <row r="49" spans="4:31" hidden="1" x14ac:dyDescent="0.25">
      <c r="D49" s="46"/>
      <c r="E49" s="46"/>
      <c r="F49" s="46"/>
      <c r="G49" s="46"/>
      <c r="H49" s="56" t="s">
        <v>21</v>
      </c>
      <c r="I49" s="37">
        <v>0</v>
      </c>
      <c r="J49" s="38">
        <f t="shared" si="10"/>
        <v>0</v>
      </c>
      <c r="K49" s="39"/>
      <c r="L49" s="58"/>
      <c r="P49" s="54" t="s">
        <v>13</v>
      </c>
      <c r="Q49" s="54" t="s">
        <v>13</v>
      </c>
      <c r="R49" s="54">
        <v>0.15</v>
      </c>
      <c r="S49" s="54">
        <v>0.15</v>
      </c>
      <c r="T49" s="54">
        <v>0.27900000000000003</v>
      </c>
      <c r="U49" s="55">
        <f t="shared" si="4"/>
        <v>0.11415055446634856</v>
      </c>
      <c r="V49" s="54">
        <v>5</v>
      </c>
      <c r="W49" s="54">
        <v>20</v>
      </c>
      <c r="X49" s="54">
        <v>5</v>
      </c>
      <c r="Y49" s="54">
        <v>8</v>
      </c>
      <c r="Z49" s="55">
        <f t="shared" si="5"/>
        <v>0.15568200000000004</v>
      </c>
      <c r="AA49" s="55">
        <f t="shared" si="6"/>
        <v>0.86929439521156404</v>
      </c>
      <c r="AB49" s="55">
        <f t="shared" si="7"/>
        <v>0.1413716694115407</v>
      </c>
      <c r="AC49" s="55">
        <f t="shared" si="8"/>
        <v>0.56548667764616278</v>
      </c>
      <c r="AD49" s="55">
        <f t="shared" si="9"/>
        <v>0.29705366941154077</v>
      </c>
      <c r="AE49" s="55">
        <f t="shared" si="9"/>
        <v>1.4347810728577268</v>
      </c>
    </row>
    <row r="50" spans="4:31" hidden="1" x14ac:dyDescent="0.25">
      <c r="D50" s="46"/>
      <c r="E50" s="46"/>
      <c r="F50" s="46"/>
      <c r="G50" s="46"/>
      <c r="H50" s="56" t="s">
        <v>21</v>
      </c>
      <c r="I50" s="37">
        <v>0</v>
      </c>
      <c r="J50" s="38">
        <f t="shared" si="10"/>
        <v>0</v>
      </c>
      <c r="K50" s="39"/>
      <c r="L50" s="58"/>
      <c r="P50" s="54" t="s">
        <v>14</v>
      </c>
      <c r="Q50" s="54" t="s">
        <v>14</v>
      </c>
      <c r="R50" s="54">
        <v>0.2</v>
      </c>
      <c r="S50" s="54">
        <v>0.15</v>
      </c>
      <c r="T50" s="54">
        <v>0.33</v>
      </c>
      <c r="U50" s="55">
        <f t="shared" si="4"/>
        <v>0.14836171306577797</v>
      </c>
      <c r="V50" s="54">
        <v>5</v>
      </c>
      <c r="W50" s="54">
        <v>22</v>
      </c>
      <c r="X50" s="54">
        <v>5</v>
      </c>
      <c r="Y50" s="54">
        <v>8</v>
      </c>
      <c r="Z50" s="55">
        <f t="shared" si="5"/>
        <v>0.21780000000000002</v>
      </c>
      <c r="AA50" s="55">
        <f t="shared" si="6"/>
        <v>1.1905065360778522</v>
      </c>
      <c r="AB50" s="55">
        <f t="shared" si="7"/>
        <v>0.18849555921538758</v>
      </c>
      <c r="AC50" s="55">
        <f t="shared" si="8"/>
        <v>0.7539822368615503</v>
      </c>
      <c r="AD50" s="55">
        <f t="shared" si="9"/>
        <v>0.40629555921538762</v>
      </c>
      <c r="AE50" s="55">
        <f t="shared" si="9"/>
        <v>1.9444887729394025</v>
      </c>
    </row>
    <row r="51" spans="4:31" hidden="1" x14ac:dyDescent="0.25">
      <c r="D51" s="46"/>
      <c r="E51" s="46"/>
      <c r="F51" s="46"/>
      <c r="G51" s="46"/>
      <c r="H51" s="56" t="s">
        <v>15</v>
      </c>
      <c r="I51" s="37">
        <v>0</v>
      </c>
      <c r="J51" s="38">
        <f t="shared" si="10"/>
        <v>0</v>
      </c>
      <c r="K51" s="39"/>
      <c r="L51" s="58"/>
      <c r="P51" s="54" t="s">
        <v>15</v>
      </c>
      <c r="Q51" s="54" t="s">
        <v>15</v>
      </c>
      <c r="R51" s="54">
        <v>0.25</v>
      </c>
      <c r="S51" s="54">
        <v>0.15</v>
      </c>
      <c r="T51" s="54">
        <v>0.38</v>
      </c>
      <c r="U51" s="55">
        <f t="shared" si="4"/>
        <v>0.18213383409186826</v>
      </c>
      <c r="V51" s="54">
        <v>5</v>
      </c>
      <c r="W51" s="54">
        <v>22</v>
      </c>
      <c r="X51" s="54">
        <v>5</v>
      </c>
      <c r="Y51" s="54">
        <v>8</v>
      </c>
      <c r="Z51" s="55">
        <f t="shared" si="5"/>
        <v>0.2888</v>
      </c>
      <c r="AA51" s="55">
        <f t="shared" si="6"/>
        <v>1.4151304108095224</v>
      </c>
      <c r="AB51" s="55">
        <f t="shared" si="7"/>
        <v>0.23561944901923448</v>
      </c>
      <c r="AC51" s="55">
        <f t="shared" si="8"/>
        <v>0.94247779607693793</v>
      </c>
      <c r="AD51" s="55">
        <f t="shared" si="9"/>
        <v>0.52441944901923443</v>
      </c>
      <c r="AE51" s="55">
        <f t="shared" si="9"/>
        <v>2.3576082068864603</v>
      </c>
    </row>
    <row r="52" spans="4:31" hidden="1" x14ac:dyDescent="0.25">
      <c r="D52" s="46"/>
      <c r="E52" s="46"/>
      <c r="F52" s="46"/>
      <c r="G52" s="46"/>
      <c r="H52" s="56" t="s">
        <v>16</v>
      </c>
      <c r="I52" s="37">
        <v>0</v>
      </c>
      <c r="J52" s="38">
        <f t="shared" si="10"/>
        <v>0</v>
      </c>
      <c r="K52" s="39"/>
      <c r="L52" s="58"/>
      <c r="P52" s="54" t="s">
        <v>16</v>
      </c>
      <c r="Q52" s="54" t="s">
        <v>16</v>
      </c>
      <c r="R52" s="54">
        <v>0.3</v>
      </c>
      <c r="S52" s="54">
        <v>0.15</v>
      </c>
      <c r="T52" s="54">
        <v>0.43</v>
      </c>
      <c r="U52" s="55">
        <f t="shared" si="4"/>
        <v>0.21590595511795851</v>
      </c>
      <c r="V52" s="54">
        <v>5</v>
      </c>
      <c r="W52" s="54">
        <v>25</v>
      </c>
      <c r="X52" s="54">
        <v>5</v>
      </c>
      <c r="Y52" s="54">
        <v>8</v>
      </c>
      <c r="Z52" s="55">
        <f t="shared" si="5"/>
        <v>0.36979999999999996</v>
      </c>
      <c r="AA52" s="55">
        <f t="shared" si="6"/>
        <v>1.8633571426604458</v>
      </c>
      <c r="AB52" s="55">
        <f t="shared" si="7"/>
        <v>0.28274333882308139</v>
      </c>
      <c r="AC52" s="55">
        <f t="shared" si="8"/>
        <v>1.1309733552923256</v>
      </c>
      <c r="AD52" s="55">
        <f t="shared" si="9"/>
        <v>0.65254333882308135</v>
      </c>
      <c r="AE52" s="55">
        <f t="shared" si="9"/>
        <v>2.9943304979527712</v>
      </c>
    </row>
    <row r="53" spans="4:31" hidden="1" x14ac:dyDescent="0.25">
      <c r="D53" s="46"/>
      <c r="E53" s="46"/>
      <c r="F53" s="46"/>
      <c r="G53" s="46"/>
      <c r="H53" s="56" t="s">
        <v>17</v>
      </c>
      <c r="I53" s="37">
        <v>0</v>
      </c>
      <c r="J53" s="38">
        <f t="shared" si="10"/>
        <v>0</v>
      </c>
      <c r="K53" s="39"/>
      <c r="L53" s="58"/>
      <c r="P53" s="54" t="s">
        <v>17</v>
      </c>
      <c r="Q53" s="54" t="s">
        <v>17</v>
      </c>
      <c r="R53" s="54">
        <v>0.35</v>
      </c>
      <c r="S53" s="54">
        <v>0.15</v>
      </c>
      <c r="T53" s="54">
        <v>0.48</v>
      </c>
      <c r="U53" s="55">
        <f t="shared" si="4"/>
        <v>0.2496780761440488</v>
      </c>
      <c r="V53" s="54">
        <v>5</v>
      </c>
      <c r="W53" s="54">
        <v>25</v>
      </c>
      <c r="X53" s="54">
        <v>5</v>
      </c>
      <c r="Y53" s="54">
        <v>9</v>
      </c>
      <c r="Z53" s="55">
        <f t="shared" si="5"/>
        <v>0.46079999999999999</v>
      </c>
      <c r="AA53" s="55">
        <f t="shared" si="6"/>
        <v>2.1186115457646171</v>
      </c>
      <c r="AB53" s="55">
        <f t="shared" si="7"/>
        <v>0.32986722862692824</v>
      </c>
      <c r="AC53" s="55">
        <f t="shared" si="8"/>
        <v>1.4844025288211771</v>
      </c>
      <c r="AD53" s="55">
        <f t="shared" si="9"/>
        <v>0.79066722862692829</v>
      </c>
      <c r="AE53" s="55">
        <f t="shared" si="9"/>
        <v>3.6030140745857944</v>
      </c>
    </row>
    <row r="54" spans="4:31" hidden="1" x14ac:dyDescent="0.25">
      <c r="D54" s="46"/>
      <c r="E54" s="46"/>
      <c r="F54" s="46"/>
      <c r="G54" s="46"/>
      <c r="H54" s="56" t="s">
        <v>18</v>
      </c>
      <c r="I54" s="37">
        <v>0</v>
      </c>
      <c r="J54" s="38">
        <f t="shared" si="10"/>
        <v>0</v>
      </c>
      <c r="K54" s="39"/>
      <c r="L54" s="58"/>
      <c r="P54" s="54" t="s">
        <v>18</v>
      </c>
      <c r="Q54" s="54" t="s">
        <v>18</v>
      </c>
      <c r="R54" s="54">
        <v>0.4</v>
      </c>
      <c r="S54" s="54">
        <v>0.15</v>
      </c>
      <c r="T54" s="54">
        <v>0.53</v>
      </c>
      <c r="U54" s="55">
        <f t="shared" si="4"/>
        <v>0.28345019717013908</v>
      </c>
      <c r="V54" s="54">
        <v>5</v>
      </c>
      <c r="W54" s="54">
        <v>25</v>
      </c>
      <c r="X54" s="54">
        <v>5</v>
      </c>
      <c r="Y54" s="54">
        <v>9</v>
      </c>
      <c r="Z54" s="55">
        <f t="shared" si="5"/>
        <v>0.56180000000000008</v>
      </c>
      <c r="AA54" s="55">
        <f t="shared" si="6"/>
        <v>2.3738659488687879</v>
      </c>
      <c r="AB54" s="55">
        <f t="shared" si="7"/>
        <v>0.37699111843077515</v>
      </c>
      <c r="AC54" s="55">
        <f t="shared" si="8"/>
        <v>1.6964600329384882</v>
      </c>
      <c r="AD54" s="55">
        <f t="shared" si="9"/>
        <v>0.93879111843077523</v>
      </c>
      <c r="AE54" s="55">
        <f t="shared" si="9"/>
        <v>4.0703259818072759</v>
      </c>
    </row>
    <row r="55" spans="4:31" hidden="1" x14ac:dyDescent="0.25">
      <c r="D55" s="46"/>
      <c r="E55" s="46"/>
      <c r="F55" s="46"/>
      <c r="G55" s="46"/>
      <c r="H55" s="56" t="s">
        <v>19</v>
      </c>
      <c r="I55" s="37">
        <v>0</v>
      </c>
      <c r="J55" s="38">
        <f t="shared" si="10"/>
        <v>0</v>
      </c>
      <c r="K55" s="39"/>
      <c r="L55" s="58"/>
      <c r="P55" s="54" t="s">
        <v>19</v>
      </c>
      <c r="Q55" s="54" t="s">
        <v>19</v>
      </c>
      <c r="R55" s="54">
        <v>0.45</v>
      </c>
      <c r="S55" s="54">
        <v>0.15</v>
      </c>
      <c r="T55" s="54">
        <v>0.57999999999999996</v>
      </c>
      <c r="U55" s="55">
        <f t="shared" si="4"/>
        <v>0.31722231819622931</v>
      </c>
      <c r="V55" s="54">
        <v>5</v>
      </c>
      <c r="W55" s="54">
        <v>25</v>
      </c>
      <c r="X55" s="54">
        <v>5</v>
      </c>
      <c r="Y55" s="54">
        <v>9</v>
      </c>
      <c r="Z55" s="55">
        <f t="shared" si="5"/>
        <v>0.67279999999999995</v>
      </c>
      <c r="AA55" s="55">
        <f t="shared" si="6"/>
        <v>2.6291203519729573</v>
      </c>
      <c r="AB55" s="55">
        <f t="shared" si="7"/>
        <v>0.42411500823462206</v>
      </c>
      <c r="AC55" s="55">
        <f t="shared" si="8"/>
        <v>1.9085175370557992</v>
      </c>
      <c r="AD55" s="55">
        <f t="shared" si="9"/>
        <v>1.096915008234622</v>
      </c>
      <c r="AE55" s="55">
        <f t="shared" si="9"/>
        <v>4.5376378890287565</v>
      </c>
    </row>
    <row r="56" spans="4:31" hidden="1" x14ac:dyDescent="0.25">
      <c r="D56" s="46"/>
      <c r="E56" s="46"/>
      <c r="F56" s="46"/>
      <c r="G56" s="46"/>
      <c r="H56" s="56" t="s">
        <v>20</v>
      </c>
      <c r="I56" s="37">
        <v>0</v>
      </c>
      <c r="J56" s="38">
        <f t="shared" si="10"/>
        <v>0</v>
      </c>
      <c r="K56" s="39"/>
      <c r="L56" s="58"/>
      <c r="P56" s="54" t="s">
        <v>20</v>
      </c>
      <c r="Q56" s="54" t="s">
        <v>20</v>
      </c>
      <c r="R56" s="54">
        <v>0.5</v>
      </c>
      <c r="S56" s="54">
        <v>0.15</v>
      </c>
      <c r="T56" s="54">
        <v>0.63</v>
      </c>
      <c r="U56" s="55">
        <f t="shared" si="4"/>
        <v>0.35099443922231965</v>
      </c>
      <c r="V56" s="54">
        <v>5</v>
      </c>
      <c r="W56" s="54">
        <v>28</v>
      </c>
      <c r="X56" s="54">
        <v>5</v>
      </c>
      <c r="Y56" s="54">
        <v>10</v>
      </c>
      <c r="Z56" s="55">
        <f t="shared" si="5"/>
        <v>0.79380000000000006</v>
      </c>
      <c r="AA56" s="55">
        <f t="shared" si="6"/>
        <v>3.2304997256863848</v>
      </c>
      <c r="AB56" s="55">
        <f t="shared" si="7"/>
        <v>0.47123889803846897</v>
      </c>
      <c r="AC56" s="55">
        <f t="shared" si="8"/>
        <v>2.3561944901923448</v>
      </c>
      <c r="AD56" s="55">
        <f t="shared" si="9"/>
        <v>1.265038898038469</v>
      </c>
      <c r="AE56" s="55">
        <f t="shared" si="9"/>
        <v>5.5866942158787296</v>
      </c>
    </row>
    <row r="57" spans="4:31" hidden="1" x14ac:dyDescent="0.25">
      <c r="D57" s="46"/>
      <c r="E57" s="46"/>
      <c r="F57" s="46"/>
      <c r="G57" s="46"/>
      <c r="H57" s="56" t="s">
        <v>21</v>
      </c>
      <c r="I57" s="37">
        <v>0</v>
      </c>
      <c r="J57" s="38">
        <f t="shared" si="10"/>
        <v>0</v>
      </c>
      <c r="K57" s="39"/>
      <c r="L57" s="58"/>
      <c r="P57" s="54" t="s">
        <v>21</v>
      </c>
      <c r="Q57" s="54" t="s">
        <v>21</v>
      </c>
      <c r="R57" s="54">
        <v>0.6</v>
      </c>
      <c r="S57" s="54">
        <v>0.15</v>
      </c>
      <c r="T57" s="54">
        <v>0.73</v>
      </c>
      <c r="U57" s="55">
        <f t="shared" si="4"/>
        <v>0.41853868127450011</v>
      </c>
      <c r="V57" s="54">
        <v>5</v>
      </c>
      <c r="W57" s="54">
        <v>30</v>
      </c>
      <c r="X57" s="54">
        <v>5</v>
      </c>
      <c r="Y57" s="54">
        <v>11</v>
      </c>
      <c r="Z57" s="55">
        <f t="shared" si="5"/>
        <v>1.0657999999999999</v>
      </c>
      <c r="AA57" s="55">
        <f t="shared" si="6"/>
        <v>4.0738602735425626</v>
      </c>
      <c r="AB57" s="55">
        <f t="shared" si="7"/>
        <v>0.56548667764616278</v>
      </c>
      <c r="AC57" s="55">
        <f t="shared" si="8"/>
        <v>3.1101767270538954</v>
      </c>
      <c r="AD57" s="55">
        <f t="shared" si="9"/>
        <v>1.6312866776461625</v>
      </c>
      <c r="AE57" s="55">
        <f t="shared" si="9"/>
        <v>7.184037000596458</v>
      </c>
    </row>
    <row r="58" spans="4:31" hidden="1" x14ac:dyDescent="0.25">
      <c r="L58" s="59"/>
      <c r="P58" s="190"/>
      <c r="Q58" s="190"/>
      <c r="R58" s="190"/>
      <c r="S58" s="190"/>
      <c r="T58" s="190"/>
      <c r="U58" s="190"/>
      <c r="V58" s="441" t="s">
        <v>31</v>
      </c>
      <c r="W58" s="441"/>
    </row>
    <row r="59" spans="4:31" hidden="1" x14ac:dyDescent="0.25">
      <c r="L59" s="59"/>
      <c r="P59" s="190"/>
      <c r="Q59" s="190" t="s">
        <v>51</v>
      </c>
      <c r="R59" s="190" t="s">
        <v>6</v>
      </c>
      <c r="S59" s="190" t="s">
        <v>9</v>
      </c>
      <c r="T59" s="190" t="s">
        <v>10</v>
      </c>
      <c r="U59" s="190" t="s">
        <v>8</v>
      </c>
      <c r="V59" s="190" t="s">
        <v>4</v>
      </c>
      <c r="W59" s="190" t="s">
        <v>3</v>
      </c>
    </row>
    <row r="60" spans="4:31" x14ac:dyDescent="0.25">
      <c r="L60" s="59"/>
      <c r="P60" s="190" t="s">
        <v>32</v>
      </c>
      <c r="Q60" s="190" t="s">
        <v>32</v>
      </c>
      <c r="R60" s="60">
        <v>0</v>
      </c>
      <c r="S60" s="60">
        <v>0</v>
      </c>
      <c r="T60" s="190">
        <v>0</v>
      </c>
      <c r="U60" s="61">
        <f t="shared" ref="U60:U78" si="12">((PI()/4)*(T60^2))</f>
        <v>0</v>
      </c>
      <c r="V60" s="190">
        <v>5</v>
      </c>
      <c r="W60" s="54">
        <v>12</v>
      </c>
    </row>
    <row r="61" spans="4:31" x14ac:dyDescent="0.25">
      <c r="D61" s="62"/>
      <c r="E61" s="62">
        <f t="shared" ref="E61:E78" si="13">LOOKUP(H61,B.FLG,B.FLG.FRP)</f>
        <v>15</v>
      </c>
      <c r="F61" s="46"/>
      <c r="G61" s="46"/>
      <c r="H61" s="63" t="s">
        <v>36</v>
      </c>
      <c r="I61" s="37">
        <v>1</v>
      </c>
      <c r="J61" s="38">
        <f t="shared" ref="J61:J78" si="14">LOOKUP(H61,B.FLG,B.FLG.AREA)*(CEILING(D61/3,1))*I61</f>
        <v>0</v>
      </c>
      <c r="K61" s="39">
        <f>LOOKUP(H61,B.FLG,B.FLG.AREA)</f>
        <v>1.2667686977437444E-2</v>
      </c>
      <c r="L61" s="216">
        <v>0.22</v>
      </c>
      <c r="M61" s="179">
        <f>L61*I61</f>
        <v>0.22</v>
      </c>
      <c r="P61" s="190" t="s">
        <v>33</v>
      </c>
      <c r="Q61" s="190" t="s">
        <v>33</v>
      </c>
      <c r="R61" s="60">
        <v>1.4999999999999999E-2</v>
      </c>
      <c r="S61" s="60">
        <v>0.15</v>
      </c>
      <c r="T61" s="60">
        <v>8.8999999999999996E-2</v>
      </c>
      <c r="U61" s="61">
        <f t="shared" si="12"/>
        <v>6.221138852271187E-3</v>
      </c>
      <c r="V61" s="190">
        <v>5</v>
      </c>
      <c r="W61" s="54">
        <v>12</v>
      </c>
    </row>
    <row r="62" spans="4:31" x14ac:dyDescent="0.25">
      <c r="D62" s="62"/>
      <c r="E62" s="62">
        <f t="shared" si="13"/>
        <v>18</v>
      </c>
      <c r="F62" s="46"/>
      <c r="G62" s="46"/>
      <c r="H62" s="63" t="s">
        <v>40</v>
      </c>
      <c r="I62" s="37">
        <v>0</v>
      </c>
      <c r="J62" s="38">
        <f t="shared" si="14"/>
        <v>0</v>
      </c>
      <c r="K62" s="39">
        <f>LOOKUP(H62,B.FLG,B.FLG.AREA)</f>
        <v>4.1187065086725587E-2</v>
      </c>
      <c r="L62" s="216">
        <v>0.61</v>
      </c>
      <c r="M62" s="179">
        <f>L62*I62</f>
        <v>0</v>
      </c>
      <c r="P62" s="190" t="s">
        <v>34</v>
      </c>
      <c r="Q62" s="190" t="s">
        <v>34</v>
      </c>
      <c r="R62" s="60">
        <v>0.02</v>
      </c>
      <c r="S62" s="60">
        <v>0.15</v>
      </c>
      <c r="T62" s="60">
        <v>9.8000000000000004E-2</v>
      </c>
      <c r="U62" s="61">
        <f t="shared" si="12"/>
        <v>7.5429639612690945E-3</v>
      </c>
      <c r="V62" s="190">
        <v>5</v>
      </c>
      <c r="W62" s="54">
        <v>12</v>
      </c>
    </row>
    <row r="63" spans="4:31" hidden="1" x14ac:dyDescent="0.25">
      <c r="D63" s="62"/>
      <c r="E63" s="62">
        <f t="shared" si="13"/>
        <v>18</v>
      </c>
      <c r="F63" s="46"/>
      <c r="G63" s="46"/>
      <c r="H63" s="63" t="s">
        <v>39</v>
      </c>
      <c r="I63" s="37">
        <v>0</v>
      </c>
      <c r="J63" s="38">
        <f>LOOKUP(H63,B.FLG,B.FLG.AREA)*(CEILING(D63/3,1))*I63</f>
        <v>0</v>
      </c>
      <c r="K63" s="39">
        <f>LOOKUP(H63,B.FLG,B.FLG.AREA)</f>
        <v>2.8652110398902312E-2</v>
      </c>
      <c r="L63" s="64">
        <v>0.38</v>
      </c>
      <c r="M63" s="181">
        <f t="shared" ref="M63:M65" si="15">L63*I63</f>
        <v>0</v>
      </c>
      <c r="P63" s="190" t="s">
        <v>35</v>
      </c>
      <c r="Q63" s="190" t="s">
        <v>35</v>
      </c>
      <c r="R63" s="60">
        <v>2.5000000000000001E-2</v>
      </c>
      <c r="S63" s="60">
        <v>0.15</v>
      </c>
      <c r="T63" s="60">
        <v>0.108</v>
      </c>
      <c r="U63" s="61">
        <f t="shared" si="12"/>
        <v>9.1608841778678361E-3</v>
      </c>
      <c r="V63" s="190">
        <v>5</v>
      </c>
      <c r="W63" s="54">
        <v>12</v>
      </c>
    </row>
    <row r="64" spans="4:31" hidden="1" x14ac:dyDescent="0.25">
      <c r="D64" s="62"/>
      <c r="E64" s="62">
        <f t="shared" si="13"/>
        <v>18</v>
      </c>
      <c r="F64" s="46"/>
      <c r="G64" s="46"/>
      <c r="H64" s="63" t="s">
        <v>40</v>
      </c>
      <c r="I64" s="37">
        <v>0</v>
      </c>
      <c r="J64" s="38">
        <f t="shared" si="14"/>
        <v>0</v>
      </c>
      <c r="K64" s="39">
        <f>LOOKUP(H64,B.FLG,B.FLG.AREA)</f>
        <v>4.1187065086725587E-2</v>
      </c>
      <c r="L64" s="64">
        <v>0.46</v>
      </c>
      <c r="M64" s="181">
        <f t="shared" si="15"/>
        <v>0</v>
      </c>
      <c r="P64" s="190" t="s">
        <v>36</v>
      </c>
      <c r="Q64" s="190" t="s">
        <v>36</v>
      </c>
      <c r="R64" s="60">
        <v>0.04</v>
      </c>
      <c r="S64" s="60">
        <v>0.15</v>
      </c>
      <c r="T64" s="60">
        <v>0.127</v>
      </c>
      <c r="U64" s="61">
        <f t="shared" si="12"/>
        <v>1.2667686977437444E-2</v>
      </c>
      <c r="V64" s="190">
        <v>5</v>
      </c>
      <c r="W64" s="54">
        <v>15</v>
      </c>
    </row>
    <row r="65" spans="4:23" hidden="1" x14ac:dyDescent="0.25">
      <c r="D65" s="62"/>
      <c r="E65" s="62">
        <f t="shared" si="13"/>
        <v>25</v>
      </c>
      <c r="F65" s="46"/>
      <c r="G65" s="46"/>
      <c r="H65" s="63" t="s">
        <v>48</v>
      </c>
      <c r="I65" s="37">
        <v>0</v>
      </c>
      <c r="J65" s="38">
        <f t="shared" si="14"/>
        <v>0</v>
      </c>
      <c r="K65" s="39">
        <f>LOOKUP(H65,B.FLG,B.FLG.AREA)*1.5</f>
        <v>0.39631191325035237</v>
      </c>
      <c r="L65" s="64">
        <v>4.46</v>
      </c>
      <c r="M65" s="181">
        <f t="shared" si="15"/>
        <v>0</v>
      </c>
      <c r="P65" s="190" t="s">
        <v>37</v>
      </c>
      <c r="Q65" s="190" t="s">
        <v>37</v>
      </c>
      <c r="R65" s="60">
        <v>0.05</v>
      </c>
      <c r="S65" s="60">
        <v>0.15</v>
      </c>
      <c r="T65" s="60">
        <v>0.152</v>
      </c>
      <c r="U65" s="61">
        <f t="shared" si="12"/>
        <v>1.8145839167134643E-2</v>
      </c>
      <c r="V65" s="190">
        <v>5</v>
      </c>
      <c r="W65" s="54">
        <v>15</v>
      </c>
    </row>
    <row r="66" spans="4:23" hidden="1" x14ac:dyDescent="0.25">
      <c r="D66" s="62"/>
      <c r="E66" s="62">
        <f t="shared" si="13"/>
        <v>30</v>
      </c>
      <c r="F66" s="46"/>
      <c r="G66" s="46"/>
      <c r="H66" s="63" t="s">
        <v>50</v>
      </c>
      <c r="I66" s="37">
        <v>0</v>
      </c>
      <c r="J66" s="38">
        <f t="shared" si="14"/>
        <v>0</v>
      </c>
      <c r="K66" s="39">
        <f t="shared" ref="K66:K78" si="16">LOOKUP(H66,B.FLG,B.FLG.AREA)</f>
        <v>0.41853868127450011</v>
      </c>
      <c r="L66" s="65">
        <f t="shared" ref="L66" si="17">+E66*K66*I66</f>
        <v>0</v>
      </c>
      <c r="P66" s="190" t="s">
        <v>38</v>
      </c>
      <c r="Q66" s="190" t="s">
        <v>38</v>
      </c>
      <c r="R66" s="60">
        <v>6.5000000000000002E-2</v>
      </c>
      <c r="S66" s="60">
        <v>0.15</v>
      </c>
      <c r="T66" s="60">
        <v>0.17799999999999999</v>
      </c>
      <c r="U66" s="61">
        <f t="shared" si="12"/>
        <v>2.4884555409084748E-2</v>
      </c>
      <c r="V66" s="190">
        <v>5</v>
      </c>
      <c r="W66" s="54">
        <v>15</v>
      </c>
    </row>
    <row r="67" spans="4:23" hidden="1" x14ac:dyDescent="0.25">
      <c r="D67" s="62"/>
      <c r="E67" s="62">
        <f t="shared" si="13"/>
        <v>30</v>
      </c>
      <c r="F67" s="46"/>
      <c r="G67" s="46"/>
      <c r="H67" s="63" t="s">
        <v>50</v>
      </c>
      <c r="I67" s="37">
        <v>0</v>
      </c>
      <c r="J67" s="38">
        <f t="shared" si="14"/>
        <v>0</v>
      </c>
      <c r="K67" s="39">
        <f t="shared" si="16"/>
        <v>0.41853868127450011</v>
      </c>
      <c r="L67" s="64">
        <f>+E67*K67*I67*2</f>
        <v>0</v>
      </c>
      <c r="M67" s="181" t="s">
        <v>116</v>
      </c>
      <c r="P67" s="190" t="s">
        <v>39</v>
      </c>
      <c r="Q67" s="190" t="s">
        <v>39</v>
      </c>
      <c r="R67" s="60">
        <v>0.08</v>
      </c>
      <c r="S67" s="60">
        <v>0.15</v>
      </c>
      <c r="T67" s="60">
        <v>0.191</v>
      </c>
      <c r="U67" s="61">
        <f t="shared" si="12"/>
        <v>2.8652110398902312E-2</v>
      </c>
      <c r="V67" s="190">
        <v>5</v>
      </c>
      <c r="W67" s="54">
        <v>18</v>
      </c>
    </row>
    <row r="68" spans="4:23" hidden="1" x14ac:dyDescent="0.25">
      <c r="D68" s="62"/>
      <c r="E68" s="62">
        <f t="shared" si="13"/>
        <v>30</v>
      </c>
      <c r="F68" s="46"/>
      <c r="G68" s="46"/>
      <c r="H68" s="63" t="s">
        <v>50</v>
      </c>
      <c r="I68" s="37">
        <v>0</v>
      </c>
      <c r="J68" s="38">
        <f t="shared" si="14"/>
        <v>0</v>
      </c>
      <c r="K68" s="39">
        <f t="shared" si="16"/>
        <v>0.41853868127450011</v>
      </c>
      <c r="L68" s="39">
        <f t="shared" ref="L68:L78" si="18">+E68*K68*I68</f>
        <v>0</v>
      </c>
      <c r="P68" s="190" t="s">
        <v>40</v>
      </c>
      <c r="Q68" s="190" t="s">
        <v>40</v>
      </c>
      <c r="R68" s="60">
        <v>0.1</v>
      </c>
      <c r="S68" s="60">
        <v>0.15</v>
      </c>
      <c r="T68" s="60">
        <v>0.22900000000000001</v>
      </c>
      <c r="U68" s="61">
        <f t="shared" si="12"/>
        <v>4.1187065086725587E-2</v>
      </c>
      <c r="V68" s="190">
        <v>5</v>
      </c>
      <c r="W68" s="54">
        <v>18</v>
      </c>
    </row>
    <row r="69" spans="4:23" hidden="1" x14ac:dyDescent="0.25">
      <c r="D69" s="62"/>
      <c r="E69" s="62">
        <f t="shared" si="13"/>
        <v>30</v>
      </c>
      <c r="F69" s="46"/>
      <c r="G69" s="46"/>
      <c r="H69" s="63" t="s">
        <v>50</v>
      </c>
      <c r="I69" s="37">
        <v>0</v>
      </c>
      <c r="J69" s="38">
        <f t="shared" si="14"/>
        <v>0</v>
      </c>
      <c r="K69" s="39">
        <f t="shared" si="16"/>
        <v>0.41853868127450011</v>
      </c>
      <c r="L69" s="39">
        <f t="shared" si="18"/>
        <v>0</v>
      </c>
      <c r="M69" s="66"/>
      <c r="P69" s="190" t="s">
        <v>41</v>
      </c>
      <c r="Q69" s="190" t="s">
        <v>41</v>
      </c>
      <c r="R69" s="60">
        <v>0.125</v>
      </c>
      <c r="S69" s="60">
        <v>0.15</v>
      </c>
      <c r="T69" s="60">
        <v>0.254</v>
      </c>
      <c r="U69" s="61">
        <f t="shared" si="12"/>
        <v>5.0670747909749778E-2</v>
      </c>
      <c r="V69" s="190">
        <v>5</v>
      </c>
      <c r="W69" s="54">
        <v>18</v>
      </c>
    </row>
    <row r="70" spans="4:23" hidden="1" x14ac:dyDescent="0.25">
      <c r="D70" s="62"/>
      <c r="E70" s="62">
        <f t="shared" si="13"/>
        <v>20</v>
      </c>
      <c r="F70" s="46"/>
      <c r="G70" s="46"/>
      <c r="H70" s="63" t="s">
        <v>42</v>
      </c>
      <c r="I70" s="37">
        <v>0</v>
      </c>
      <c r="J70" s="38">
        <f t="shared" si="14"/>
        <v>0</v>
      </c>
      <c r="K70" s="39">
        <f t="shared" si="16"/>
        <v>6.1136178437020787E-2</v>
      </c>
      <c r="L70" s="39">
        <f t="shared" si="18"/>
        <v>0</v>
      </c>
      <c r="P70" s="190" t="s">
        <v>42</v>
      </c>
      <c r="Q70" s="190" t="s">
        <v>42</v>
      </c>
      <c r="R70" s="60">
        <v>0.15</v>
      </c>
      <c r="S70" s="60">
        <v>0.15</v>
      </c>
      <c r="T70" s="60">
        <v>0.27900000000000003</v>
      </c>
      <c r="U70" s="61">
        <f t="shared" si="12"/>
        <v>6.1136178437020787E-2</v>
      </c>
      <c r="V70" s="190">
        <v>5</v>
      </c>
      <c r="W70" s="54">
        <v>20</v>
      </c>
    </row>
    <row r="71" spans="4:23" hidden="1" x14ac:dyDescent="0.25">
      <c r="D71" s="62"/>
      <c r="E71" s="62">
        <f t="shared" si="13"/>
        <v>20</v>
      </c>
      <c r="F71" s="46"/>
      <c r="G71" s="46"/>
      <c r="H71" s="63" t="s">
        <v>43</v>
      </c>
      <c r="I71" s="37">
        <v>0</v>
      </c>
      <c r="J71" s="38">
        <f t="shared" si="14"/>
        <v>0</v>
      </c>
      <c r="K71" s="39">
        <f t="shared" si="16"/>
        <v>8.5529859993982132E-2</v>
      </c>
      <c r="L71" s="39">
        <f t="shared" si="18"/>
        <v>0</v>
      </c>
      <c r="P71" s="190" t="s">
        <v>43</v>
      </c>
      <c r="Q71" s="190" t="s">
        <v>43</v>
      </c>
      <c r="R71" s="60">
        <v>0.2</v>
      </c>
      <c r="S71" s="60">
        <v>0.15</v>
      </c>
      <c r="T71" s="60">
        <v>0.33</v>
      </c>
      <c r="U71" s="61">
        <f t="shared" si="12"/>
        <v>8.5529859993982132E-2</v>
      </c>
      <c r="V71" s="190">
        <v>5</v>
      </c>
      <c r="W71" s="54">
        <v>20</v>
      </c>
    </row>
    <row r="72" spans="4:23" hidden="1" x14ac:dyDescent="0.25">
      <c r="D72" s="62"/>
      <c r="E72" s="62">
        <f t="shared" si="13"/>
        <v>22</v>
      </c>
      <c r="F72" s="46"/>
      <c r="G72" s="46"/>
      <c r="H72" s="63" t="s">
        <v>44</v>
      </c>
      <c r="I72" s="37">
        <v>0</v>
      </c>
      <c r="J72" s="38">
        <f t="shared" si="14"/>
        <v>0</v>
      </c>
      <c r="K72" s="39">
        <f t="shared" si="16"/>
        <v>0.11341149479459153</v>
      </c>
      <c r="L72" s="39">
        <f t="shared" si="18"/>
        <v>0</v>
      </c>
      <c r="P72" s="190" t="s">
        <v>44</v>
      </c>
      <c r="Q72" s="190" t="s">
        <v>44</v>
      </c>
      <c r="R72" s="60">
        <v>0.25</v>
      </c>
      <c r="S72" s="60">
        <v>0.15</v>
      </c>
      <c r="T72" s="60">
        <v>0.38</v>
      </c>
      <c r="U72" s="61">
        <f t="shared" si="12"/>
        <v>0.11341149479459153</v>
      </c>
      <c r="V72" s="190">
        <v>5</v>
      </c>
      <c r="W72" s="54">
        <v>22</v>
      </c>
    </row>
    <row r="73" spans="4:23" hidden="1" x14ac:dyDescent="0.25">
      <c r="D73" s="62"/>
      <c r="E73" s="62">
        <f t="shared" si="13"/>
        <v>22</v>
      </c>
      <c r="F73" s="46"/>
      <c r="G73" s="46"/>
      <c r="H73" s="63" t="s">
        <v>45</v>
      </c>
      <c r="I73" s="37">
        <v>0</v>
      </c>
      <c r="J73" s="38">
        <f t="shared" si="14"/>
        <v>0</v>
      </c>
      <c r="K73" s="39">
        <f t="shared" si="16"/>
        <v>0.14522012041218818</v>
      </c>
      <c r="L73" s="39">
        <f t="shared" si="18"/>
        <v>0</v>
      </c>
      <c r="P73" s="190" t="s">
        <v>45</v>
      </c>
      <c r="Q73" s="190" t="s">
        <v>45</v>
      </c>
      <c r="R73" s="60">
        <v>0.3</v>
      </c>
      <c r="S73" s="60">
        <v>0.15</v>
      </c>
      <c r="T73" s="60">
        <v>0.43</v>
      </c>
      <c r="U73" s="61">
        <f t="shared" si="12"/>
        <v>0.14522012041218818</v>
      </c>
      <c r="V73" s="190">
        <v>5</v>
      </c>
      <c r="W73" s="54">
        <v>22</v>
      </c>
    </row>
    <row r="74" spans="4:23" hidden="1" x14ac:dyDescent="0.25">
      <c r="D74" s="62"/>
      <c r="E74" s="62">
        <f t="shared" si="13"/>
        <v>25</v>
      </c>
      <c r="F74" s="46"/>
      <c r="G74" s="46"/>
      <c r="H74" s="63" t="s">
        <v>46</v>
      </c>
      <c r="I74" s="37">
        <v>0</v>
      </c>
      <c r="J74" s="38">
        <f t="shared" si="14"/>
        <v>0</v>
      </c>
      <c r="K74" s="39">
        <f t="shared" si="16"/>
        <v>0.18095573684677208</v>
      </c>
      <c r="L74" s="39">
        <f t="shared" si="18"/>
        <v>0</v>
      </c>
      <c r="P74" s="190" t="s">
        <v>46</v>
      </c>
      <c r="Q74" s="190" t="s">
        <v>46</v>
      </c>
      <c r="R74" s="60">
        <v>0.35</v>
      </c>
      <c r="S74" s="60">
        <v>0.15</v>
      </c>
      <c r="T74" s="60">
        <v>0.48</v>
      </c>
      <c r="U74" s="61">
        <f t="shared" si="12"/>
        <v>0.18095573684677208</v>
      </c>
      <c r="V74" s="190">
        <v>5</v>
      </c>
      <c r="W74" s="54">
        <v>25</v>
      </c>
    </row>
    <row r="75" spans="4:23" hidden="1" x14ac:dyDescent="0.25">
      <c r="D75" s="62"/>
      <c r="E75" s="62">
        <f t="shared" si="13"/>
        <v>25</v>
      </c>
      <c r="F75" s="46"/>
      <c r="G75" s="46"/>
      <c r="H75" s="63" t="s">
        <v>47</v>
      </c>
      <c r="I75" s="37">
        <v>0</v>
      </c>
      <c r="J75" s="38">
        <f t="shared" si="14"/>
        <v>0</v>
      </c>
      <c r="K75" s="39">
        <f t="shared" si="16"/>
        <v>0.22061834409834324</v>
      </c>
      <c r="L75" s="39">
        <f t="shared" si="18"/>
        <v>0</v>
      </c>
      <c r="P75" s="190" t="s">
        <v>47</v>
      </c>
      <c r="Q75" s="190" t="s">
        <v>47</v>
      </c>
      <c r="R75" s="60">
        <v>0.4</v>
      </c>
      <c r="S75" s="60">
        <v>0.15</v>
      </c>
      <c r="T75" s="60">
        <v>0.53</v>
      </c>
      <c r="U75" s="61">
        <f t="shared" si="12"/>
        <v>0.22061834409834324</v>
      </c>
      <c r="V75" s="190">
        <v>5</v>
      </c>
      <c r="W75" s="54">
        <v>25</v>
      </c>
    </row>
    <row r="76" spans="4:23" hidden="1" x14ac:dyDescent="0.25">
      <c r="D76" s="62"/>
      <c r="E76" s="62">
        <f t="shared" si="13"/>
        <v>25</v>
      </c>
      <c r="F76" s="46"/>
      <c r="G76" s="46"/>
      <c r="H76" s="63" t="s">
        <v>48</v>
      </c>
      <c r="I76" s="37">
        <v>0</v>
      </c>
      <c r="J76" s="38">
        <f t="shared" si="14"/>
        <v>0</v>
      </c>
      <c r="K76" s="39">
        <f t="shared" si="16"/>
        <v>0.26420794216690158</v>
      </c>
      <c r="L76" s="39">
        <f t="shared" si="18"/>
        <v>0</v>
      </c>
      <c r="P76" s="190" t="s">
        <v>48</v>
      </c>
      <c r="Q76" s="190" t="s">
        <v>48</v>
      </c>
      <c r="R76" s="60">
        <v>0.45</v>
      </c>
      <c r="S76" s="60">
        <v>0.15</v>
      </c>
      <c r="T76" s="60">
        <v>0.57999999999999996</v>
      </c>
      <c r="U76" s="61">
        <f t="shared" si="12"/>
        <v>0.26420794216690158</v>
      </c>
      <c r="V76" s="190">
        <v>5</v>
      </c>
      <c r="W76" s="54">
        <v>25</v>
      </c>
    </row>
    <row r="77" spans="4:23" hidden="1" x14ac:dyDescent="0.25">
      <c r="D77" s="62"/>
      <c r="E77" s="62">
        <f t="shared" si="13"/>
        <v>28</v>
      </c>
      <c r="F77" s="46"/>
      <c r="G77" s="46"/>
      <c r="H77" s="63" t="s">
        <v>49</v>
      </c>
      <c r="I77" s="37">
        <v>0</v>
      </c>
      <c r="J77" s="38">
        <f t="shared" si="14"/>
        <v>0</v>
      </c>
      <c r="K77" s="39">
        <f t="shared" si="16"/>
        <v>0.31172453105244724</v>
      </c>
      <c r="L77" s="39">
        <f t="shared" si="18"/>
        <v>0</v>
      </c>
      <c r="P77" s="190" t="s">
        <v>49</v>
      </c>
      <c r="Q77" s="190" t="s">
        <v>49</v>
      </c>
      <c r="R77" s="60">
        <v>0.5</v>
      </c>
      <c r="S77" s="60">
        <v>0.15</v>
      </c>
      <c r="T77" s="60">
        <v>0.63</v>
      </c>
      <c r="U77" s="61">
        <f t="shared" si="12"/>
        <v>0.31172453105244724</v>
      </c>
      <c r="V77" s="190">
        <v>5</v>
      </c>
      <c r="W77" s="54">
        <v>28</v>
      </c>
    </row>
    <row r="78" spans="4:23" hidden="1" x14ac:dyDescent="0.25">
      <c r="D78" s="62"/>
      <c r="E78" s="62">
        <f t="shared" si="13"/>
        <v>30</v>
      </c>
      <c r="F78" s="46"/>
      <c r="G78" s="46"/>
      <c r="H78" s="63" t="s">
        <v>50</v>
      </c>
      <c r="I78" s="37">
        <v>0</v>
      </c>
      <c r="J78" s="38">
        <f t="shared" si="14"/>
        <v>0</v>
      </c>
      <c r="K78" s="39">
        <f t="shared" si="16"/>
        <v>0.41853868127450011</v>
      </c>
      <c r="L78" s="39">
        <f t="shared" si="18"/>
        <v>0</v>
      </c>
      <c r="P78" s="190" t="s">
        <v>50</v>
      </c>
      <c r="Q78" s="190" t="s">
        <v>50</v>
      </c>
      <c r="R78" s="60">
        <v>0.6</v>
      </c>
      <c r="S78" s="60">
        <v>0.15</v>
      </c>
      <c r="T78" s="60">
        <v>0.73</v>
      </c>
      <c r="U78" s="61">
        <f t="shared" si="12"/>
        <v>0.41853868127450011</v>
      </c>
      <c r="V78" s="190">
        <v>5</v>
      </c>
      <c r="W78" s="54">
        <v>30</v>
      </c>
    </row>
    <row r="80" spans="4:23" x14ac:dyDescent="0.25">
      <c r="J80" s="67">
        <f>SUM(J40:J79)*1.35</f>
        <v>1.4362401138341649</v>
      </c>
      <c r="L80" s="68"/>
      <c r="M80" s="67">
        <f>SUM(M40:M79)*1.25</f>
        <v>18.599999999999998</v>
      </c>
    </row>
    <row r="81" spans="2:17" s="66" customFormat="1" ht="12.75" x14ac:dyDescent="0.25">
      <c r="H81" s="69"/>
      <c r="J81" s="70">
        <f>J21</f>
        <v>0</v>
      </c>
      <c r="K81" s="71"/>
      <c r="L81" s="70" t="str">
        <f>L21</f>
        <v>BIS</v>
      </c>
      <c r="M81" s="72" t="str">
        <f>L21</f>
        <v>BIS</v>
      </c>
      <c r="N81" s="70" t="str">
        <f>M21</f>
        <v>BIS</v>
      </c>
      <c r="O81" s="73"/>
    </row>
    <row r="82" spans="2:17" ht="18" x14ac:dyDescent="0.25">
      <c r="C82" s="213" t="s">
        <v>330</v>
      </c>
      <c r="D82" s="214"/>
      <c r="E82" s="214"/>
      <c r="F82" s="214"/>
      <c r="G82" s="214"/>
      <c r="H82" s="215"/>
      <c r="J82" s="74">
        <f>SUM(J23:J37)</f>
        <v>11.37469112095982</v>
      </c>
      <c r="K82" s="75"/>
      <c r="L82" s="74">
        <f>SUM(L23:L37)</f>
        <v>22.807962665061893</v>
      </c>
      <c r="M82" s="74">
        <f t="shared" ref="M82:N82" si="19">SUM(M23:M37)</f>
        <v>92.482089767843249</v>
      </c>
      <c r="N82" s="74">
        <f t="shared" si="19"/>
        <v>7.602654221687299</v>
      </c>
      <c r="O82" s="204"/>
    </row>
    <row r="83" spans="2:17" ht="18" x14ac:dyDescent="0.25">
      <c r="B83" s="189"/>
      <c r="D83" s="189"/>
      <c r="E83" s="189"/>
      <c r="F83" s="189"/>
      <c r="G83" s="189"/>
      <c r="H83" s="6"/>
      <c r="I83" s="189"/>
      <c r="J83" s="189" t="s">
        <v>77</v>
      </c>
      <c r="K83" s="76"/>
      <c r="L83" s="77" t="s">
        <v>78</v>
      </c>
      <c r="M83" s="78" t="s">
        <v>78</v>
      </c>
      <c r="N83" s="79" t="s">
        <v>78</v>
      </c>
      <c r="O83" s="189"/>
    </row>
    <row r="84" spans="2:17" s="86" customFormat="1" ht="20.25" customHeight="1" x14ac:dyDescent="0.25">
      <c r="B84" s="70" t="s">
        <v>117</v>
      </c>
      <c r="C84" s="80" t="s">
        <v>62</v>
      </c>
      <c r="D84" s="81"/>
      <c r="E84" s="81"/>
      <c r="F84" s="82"/>
      <c r="G84" s="83"/>
      <c r="H84" s="83" t="s">
        <v>63</v>
      </c>
      <c r="I84" s="83"/>
      <c r="J84" s="83" t="s">
        <v>64</v>
      </c>
      <c r="K84" s="84"/>
      <c r="L84" s="84"/>
      <c r="M84" s="84"/>
      <c r="N84" s="85"/>
    </row>
    <row r="85" spans="2:17" x14ac:dyDescent="0.25">
      <c r="B85" s="87" t="s">
        <v>88</v>
      </c>
      <c r="C85" s="88" t="s">
        <v>118</v>
      </c>
      <c r="D85" s="89">
        <f>J81</f>
        <v>0</v>
      </c>
      <c r="E85" s="90"/>
      <c r="F85" s="180"/>
      <c r="G85" s="179">
        <f>CEILING(J82*1.05,1)</f>
        <v>12</v>
      </c>
      <c r="H85" s="91">
        <f>'RESIN RATE'!E12</f>
        <v>0</v>
      </c>
      <c r="I85" s="39" t="s">
        <v>65</v>
      </c>
      <c r="J85" s="92">
        <f>+G85*H85</f>
        <v>0</v>
      </c>
      <c r="K85" s="93"/>
      <c r="N85" s="94">
        <f>+J81</f>
        <v>0</v>
      </c>
    </row>
    <row r="86" spans="2:17" x14ac:dyDescent="0.25">
      <c r="B86" s="87" t="s">
        <v>119</v>
      </c>
      <c r="C86" s="95" t="s">
        <v>79</v>
      </c>
      <c r="D86" s="409" t="str">
        <f>L81</f>
        <v>BIS</v>
      </c>
      <c r="E86" s="90" t="s">
        <v>197</v>
      </c>
      <c r="F86" s="180"/>
      <c r="G86" s="179">
        <f>CEILING(L82*1.1,1)</f>
        <v>26</v>
      </c>
      <c r="H86" s="91">
        <f>'RESIN RATE'!D12</f>
        <v>565</v>
      </c>
      <c r="I86" s="39" t="s">
        <v>65</v>
      </c>
      <c r="J86" s="92">
        <f t="shared" ref="J86:J109" si="20">+G86*H86</f>
        <v>14690</v>
      </c>
      <c r="K86" s="93"/>
      <c r="N86" s="94" t="s">
        <v>80</v>
      </c>
    </row>
    <row r="87" spans="2:17" x14ac:dyDescent="0.25">
      <c r="B87" s="87" t="s">
        <v>120</v>
      </c>
      <c r="C87" s="95" t="s">
        <v>79</v>
      </c>
      <c r="D87" s="409" t="str">
        <f>M81</f>
        <v>BIS</v>
      </c>
      <c r="E87" s="90" t="s">
        <v>197</v>
      </c>
      <c r="F87" s="180"/>
      <c r="G87" s="179">
        <f>CEILING(M82*1.1,1)</f>
        <v>102</v>
      </c>
      <c r="H87" s="91">
        <f>'RESIN RATE'!D12</f>
        <v>565</v>
      </c>
      <c r="I87" s="39" t="s">
        <v>65</v>
      </c>
      <c r="J87" s="92">
        <f t="shared" si="20"/>
        <v>57630</v>
      </c>
      <c r="K87" s="93"/>
      <c r="N87" s="94" t="s">
        <v>80</v>
      </c>
    </row>
    <row r="88" spans="2:17" x14ac:dyDescent="0.25">
      <c r="B88" s="87" t="s">
        <v>121</v>
      </c>
      <c r="C88" s="95" t="s">
        <v>79</v>
      </c>
      <c r="D88" s="409" t="str">
        <f>N81</f>
        <v>BIS</v>
      </c>
      <c r="E88" s="90" t="s">
        <v>197</v>
      </c>
      <c r="F88" s="180"/>
      <c r="G88" s="179">
        <f>CEILING(N82*1.1,1)</f>
        <v>9</v>
      </c>
      <c r="H88" s="91">
        <f>'RESIN RATE'!D12</f>
        <v>565</v>
      </c>
      <c r="I88" s="39" t="s">
        <v>65</v>
      </c>
      <c r="J88" s="92">
        <f t="shared" si="20"/>
        <v>5085</v>
      </c>
      <c r="K88" s="93"/>
      <c r="N88" s="94" t="s">
        <v>80</v>
      </c>
    </row>
    <row r="89" spans="2:17" x14ac:dyDescent="0.25">
      <c r="B89" s="87" t="s">
        <v>122</v>
      </c>
      <c r="C89" s="310" t="s">
        <v>123</v>
      </c>
      <c r="D89" s="311"/>
      <c r="E89" s="294"/>
      <c r="F89" s="377"/>
      <c r="G89" s="54">
        <v>0</v>
      </c>
      <c r="H89" s="295">
        <f>CEILING(G85*100,50)</f>
        <v>1200</v>
      </c>
      <c r="I89" s="55" t="s">
        <v>65</v>
      </c>
      <c r="J89" s="296">
        <f t="shared" si="20"/>
        <v>0</v>
      </c>
      <c r="K89" s="93"/>
      <c r="N89" s="94" t="s">
        <v>81</v>
      </c>
    </row>
    <row r="90" spans="2:17" s="49" customFormat="1" x14ac:dyDescent="0.25">
      <c r="B90" s="96" t="s">
        <v>124</v>
      </c>
      <c r="C90" s="310" t="s">
        <v>196</v>
      </c>
      <c r="D90" s="311"/>
      <c r="E90" s="294"/>
      <c r="F90" s="280"/>
      <c r="G90" s="54">
        <v>0</v>
      </c>
      <c r="H90" s="309">
        <f>CEILING((PI()*0.05*2.25*5+PI()*0.05*0.16*5*2)*H86,50)</f>
        <v>1150</v>
      </c>
      <c r="I90" s="55" t="s">
        <v>65</v>
      </c>
      <c r="J90" s="296">
        <f t="shared" si="20"/>
        <v>0</v>
      </c>
      <c r="K90" s="104"/>
      <c r="N90" s="103" t="s">
        <v>81</v>
      </c>
      <c r="Q90" s="49" t="s">
        <v>125</v>
      </c>
    </row>
    <row r="91" spans="2:17" x14ac:dyDescent="0.25">
      <c r="B91" s="87" t="s">
        <v>126</v>
      </c>
      <c r="C91" s="105" t="s">
        <v>68</v>
      </c>
      <c r="D91" s="106"/>
      <c r="E91" s="90"/>
      <c r="F91" s="180"/>
      <c r="G91" s="179">
        <v>1</v>
      </c>
      <c r="H91" s="107">
        <f>CEILING((SUM(J40:J78)*H85+SUM(M40:M65)*H86)*1.15,500)</f>
        <v>10000</v>
      </c>
      <c r="I91" s="39" t="s">
        <v>65</v>
      </c>
      <c r="J91" s="92">
        <f t="shared" si="20"/>
        <v>10000</v>
      </c>
      <c r="K91" s="93"/>
      <c r="N91" s="94" t="s">
        <v>80</v>
      </c>
    </row>
    <row r="92" spans="2:17" x14ac:dyDescent="0.25">
      <c r="B92" s="87" t="s">
        <v>127</v>
      </c>
      <c r="C92" s="108" t="s">
        <v>271</v>
      </c>
      <c r="D92" s="109"/>
      <c r="E92" s="90"/>
      <c r="F92" s="180"/>
      <c r="G92" s="179">
        <v>1</v>
      </c>
      <c r="H92" s="107">
        <f>CEILING((120*1+3000*1)*1.2,100)</f>
        <v>3800</v>
      </c>
      <c r="I92" s="39" t="s">
        <v>65</v>
      </c>
      <c r="J92" s="92">
        <f t="shared" si="20"/>
        <v>3800</v>
      </c>
      <c r="K92" s="93"/>
      <c r="N92" s="94" t="s">
        <v>81</v>
      </c>
    </row>
    <row r="93" spans="2:17" x14ac:dyDescent="0.25">
      <c r="B93" s="87" t="s">
        <v>128</v>
      </c>
      <c r="C93" s="108" t="s">
        <v>129</v>
      </c>
      <c r="D93" s="109"/>
      <c r="E93" s="90"/>
      <c r="F93" s="180"/>
      <c r="G93" s="179">
        <v>1</v>
      </c>
      <c r="H93" s="345">
        <f>CEILING((75*0+300*1+3500*1)*1.1,100)</f>
        <v>4200</v>
      </c>
      <c r="I93" s="39" t="s">
        <v>65</v>
      </c>
      <c r="J93" s="92">
        <f t="shared" si="20"/>
        <v>4200</v>
      </c>
      <c r="K93" s="93"/>
      <c r="N93" s="94" t="s">
        <v>81</v>
      </c>
    </row>
    <row r="94" spans="2:17" s="49" customFormat="1" x14ac:dyDescent="0.25">
      <c r="B94" s="96" t="s">
        <v>130</v>
      </c>
      <c r="C94" s="292" t="s">
        <v>131</v>
      </c>
      <c r="D94" s="293"/>
      <c r="E94" s="294"/>
      <c r="F94" s="280"/>
      <c r="G94" s="54">
        <v>0</v>
      </c>
      <c r="H94" s="295">
        <f>H92*0.9</f>
        <v>3420</v>
      </c>
      <c r="I94" s="55" t="s">
        <v>65</v>
      </c>
      <c r="J94" s="296">
        <f t="shared" si="20"/>
        <v>0</v>
      </c>
      <c r="K94" s="93"/>
      <c r="L94" s="181"/>
      <c r="N94" s="103" t="s">
        <v>81</v>
      </c>
    </row>
    <row r="95" spans="2:17" s="49" customFormat="1" x14ac:dyDescent="0.25">
      <c r="B95" s="96" t="s">
        <v>132</v>
      </c>
      <c r="C95" s="292" t="s">
        <v>133</v>
      </c>
      <c r="D95" s="293"/>
      <c r="E95" s="294"/>
      <c r="F95" s="280"/>
      <c r="G95" s="54">
        <v>0</v>
      </c>
      <c r="H95" s="295">
        <f>H93</f>
        <v>4200</v>
      </c>
      <c r="I95" s="55" t="s">
        <v>65</v>
      </c>
      <c r="J95" s="296">
        <f t="shared" si="20"/>
        <v>0</v>
      </c>
      <c r="K95" s="93"/>
      <c r="L95" s="181"/>
      <c r="N95" s="103" t="s">
        <v>81</v>
      </c>
    </row>
    <row r="96" spans="2:17" s="49" customFormat="1" x14ac:dyDescent="0.25">
      <c r="B96" s="96"/>
      <c r="C96" s="110" t="s">
        <v>134</v>
      </c>
      <c r="D96" s="111"/>
      <c r="E96" s="97"/>
      <c r="F96" s="98"/>
      <c r="G96" s="99">
        <v>1</v>
      </c>
      <c r="H96" s="100">
        <f>CEILING(PI()/4*(DIA^2)*12*2*80,50)</f>
        <v>2200</v>
      </c>
      <c r="I96" s="101" t="s">
        <v>65</v>
      </c>
      <c r="J96" s="102">
        <f t="shared" si="20"/>
        <v>2200</v>
      </c>
      <c r="K96" s="93"/>
      <c r="L96" s="181"/>
      <c r="N96" s="103" t="s">
        <v>81</v>
      </c>
    </row>
    <row r="97" spans="2:27" s="113" customFormat="1" x14ac:dyDescent="0.25">
      <c r="B97" s="87" t="s">
        <v>135</v>
      </c>
      <c r="C97" s="305" t="s">
        <v>136</v>
      </c>
      <c r="D97" s="306"/>
      <c r="E97" s="307"/>
      <c r="F97" s="308"/>
      <c r="G97" s="295">
        <v>0</v>
      </c>
      <c r="H97" s="309">
        <v>20000</v>
      </c>
      <c r="I97" s="55" t="s">
        <v>65</v>
      </c>
      <c r="J97" s="296">
        <f t="shared" si="20"/>
        <v>0</v>
      </c>
      <c r="K97" s="93"/>
      <c r="L97" s="181"/>
      <c r="M97" s="181"/>
      <c r="N97" s="112" t="s">
        <v>81</v>
      </c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</row>
    <row r="98" spans="2:27" x14ac:dyDescent="0.25">
      <c r="B98" s="87" t="s">
        <v>137</v>
      </c>
      <c r="C98" s="411" t="s">
        <v>89</v>
      </c>
      <c r="D98" s="384"/>
      <c r="E98" s="385"/>
      <c r="F98" s="386"/>
      <c r="G98" s="99">
        <v>4</v>
      </c>
      <c r="H98" s="387">
        <v>500</v>
      </c>
      <c r="I98" s="388" t="s">
        <v>65</v>
      </c>
      <c r="J98" s="389">
        <f t="shared" si="20"/>
        <v>2000</v>
      </c>
      <c r="K98" s="93"/>
      <c r="N98" s="94" t="s">
        <v>81</v>
      </c>
    </row>
    <row r="99" spans="2:27" x14ac:dyDescent="0.25">
      <c r="B99" s="87" t="s">
        <v>138</v>
      </c>
      <c r="C99" s="114" t="s">
        <v>139</v>
      </c>
      <c r="D99" s="115"/>
      <c r="E99" s="97"/>
      <c r="F99" s="98"/>
      <c r="G99" s="99">
        <v>3</v>
      </c>
      <c r="H99" s="100">
        <f>0.2*10*H86</f>
        <v>1130</v>
      </c>
      <c r="I99" s="101" t="s">
        <v>65</v>
      </c>
      <c r="J99" s="92">
        <f t="shared" si="20"/>
        <v>3390</v>
      </c>
      <c r="K99" s="38">
        <f>J99/H86</f>
        <v>6</v>
      </c>
      <c r="N99" s="94" t="s">
        <v>80</v>
      </c>
    </row>
    <row r="100" spans="2:27" x14ac:dyDescent="0.25">
      <c r="B100" s="87"/>
      <c r="C100" s="114" t="s">
        <v>140</v>
      </c>
      <c r="D100" s="115"/>
      <c r="E100" s="97"/>
      <c r="F100" s="98"/>
      <c r="G100" s="99">
        <v>3</v>
      </c>
      <c r="H100" s="100">
        <f>CEILING(2.4*110+0.9*H86,10)</f>
        <v>780</v>
      </c>
      <c r="I100" s="101" t="s">
        <v>65</v>
      </c>
      <c r="J100" s="92">
        <f>+G100*H100</f>
        <v>2340</v>
      </c>
      <c r="K100" s="38">
        <f>0.9*G100</f>
        <v>2.7</v>
      </c>
      <c r="N100" s="94" t="s">
        <v>82</v>
      </c>
    </row>
    <row r="101" spans="2:27" x14ac:dyDescent="0.25">
      <c r="B101" s="87" t="s">
        <v>141</v>
      </c>
      <c r="C101" s="297" t="s">
        <v>142</v>
      </c>
      <c r="D101" s="298"/>
      <c r="E101" s="299"/>
      <c r="F101" s="300"/>
      <c r="G101" s="301">
        <v>0</v>
      </c>
      <c r="H101" s="302">
        <f>CEILING((PI()*DIA*0.1*5+((0.2*0.2*18*2+0.15*0.15*12*2)*4))*8*75*1.25,500)</f>
        <v>7500</v>
      </c>
      <c r="I101" s="303" t="s">
        <v>65</v>
      </c>
      <c r="J101" s="304">
        <f t="shared" si="20"/>
        <v>0</v>
      </c>
      <c r="K101" s="93"/>
      <c r="N101" s="94" t="s">
        <v>82</v>
      </c>
    </row>
    <row r="102" spans="2:27" x14ac:dyDescent="0.25">
      <c r="B102" s="87" t="s">
        <v>143</v>
      </c>
      <c r="C102" s="292" t="s">
        <v>144</v>
      </c>
      <c r="D102" s="293"/>
      <c r="E102" s="294"/>
      <c r="F102" s="280"/>
      <c r="G102" s="54">
        <f>CEILING(PI()*DIA+HT,1)</f>
        <v>5</v>
      </c>
      <c r="H102" s="295">
        <v>0</v>
      </c>
      <c r="I102" s="55" t="s">
        <v>65</v>
      </c>
      <c r="J102" s="296">
        <f t="shared" si="20"/>
        <v>0</v>
      </c>
      <c r="K102" s="53">
        <f>+J102/250</f>
        <v>0</v>
      </c>
      <c r="N102" s="94" t="s">
        <v>82</v>
      </c>
    </row>
    <row r="103" spans="2:27" x14ac:dyDescent="0.25">
      <c r="B103" s="87" t="s">
        <v>145</v>
      </c>
      <c r="C103" s="108" t="s">
        <v>67</v>
      </c>
      <c r="D103" s="109"/>
      <c r="E103" s="90"/>
      <c r="F103" s="180"/>
      <c r="G103" s="179">
        <v>1</v>
      </c>
      <c r="H103" s="107">
        <v>750</v>
      </c>
      <c r="I103" s="39" t="s">
        <v>65</v>
      </c>
      <c r="J103" s="92">
        <f t="shared" si="20"/>
        <v>750</v>
      </c>
      <c r="K103" s="93"/>
      <c r="N103" s="94" t="s">
        <v>81</v>
      </c>
    </row>
    <row r="104" spans="2:27" x14ac:dyDescent="0.25">
      <c r="B104" s="87" t="s">
        <v>146</v>
      </c>
      <c r="C104" s="108" t="s">
        <v>147</v>
      </c>
      <c r="D104" s="109"/>
      <c r="E104" s="90"/>
      <c r="F104" s="180"/>
      <c r="G104" s="179">
        <v>0</v>
      </c>
      <c r="H104" s="107">
        <v>1000</v>
      </c>
      <c r="I104" s="39" t="s">
        <v>65</v>
      </c>
      <c r="J104" s="92">
        <f t="shared" si="20"/>
        <v>0</v>
      </c>
      <c r="K104" s="93"/>
      <c r="N104" s="94" t="s">
        <v>84</v>
      </c>
    </row>
    <row r="105" spans="2:27" x14ac:dyDescent="0.25">
      <c r="B105" s="87" t="s">
        <v>148</v>
      </c>
      <c r="C105" s="108" t="s">
        <v>69</v>
      </c>
      <c r="D105" s="109"/>
      <c r="E105" s="90"/>
      <c r="F105" s="180"/>
      <c r="G105" s="179">
        <v>1</v>
      </c>
      <c r="H105" s="107">
        <v>1500</v>
      </c>
      <c r="I105" s="39" t="s">
        <v>65</v>
      </c>
      <c r="J105" s="92">
        <f t="shared" si="20"/>
        <v>1500</v>
      </c>
      <c r="K105" s="93"/>
      <c r="N105" s="94" t="s">
        <v>83</v>
      </c>
    </row>
    <row r="106" spans="2:27" x14ac:dyDescent="0.25">
      <c r="B106" s="87" t="s">
        <v>149</v>
      </c>
      <c r="C106" s="292" t="s">
        <v>150</v>
      </c>
      <c r="D106" s="293"/>
      <c r="E106" s="294"/>
      <c r="F106" s="280"/>
      <c r="G106" s="54">
        <v>0</v>
      </c>
      <c r="H106" s="295">
        <v>2500</v>
      </c>
      <c r="I106" s="55" t="s">
        <v>65</v>
      </c>
      <c r="J106" s="296">
        <f t="shared" si="20"/>
        <v>0</v>
      </c>
      <c r="K106" s="93"/>
      <c r="N106" s="94" t="s">
        <v>83</v>
      </c>
    </row>
    <row r="107" spans="2:27" x14ac:dyDescent="0.25">
      <c r="B107" s="87" t="s">
        <v>151</v>
      </c>
      <c r="C107" s="108" t="s">
        <v>85</v>
      </c>
      <c r="D107" s="109"/>
      <c r="E107" s="90"/>
      <c r="F107" s="180"/>
      <c r="G107" s="179">
        <v>0</v>
      </c>
      <c r="H107" s="107">
        <v>0</v>
      </c>
      <c r="I107" s="39" t="s">
        <v>65</v>
      </c>
      <c r="J107" s="92">
        <f t="shared" si="20"/>
        <v>0</v>
      </c>
      <c r="N107" s="94" t="s">
        <v>86</v>
      </c>
    </row>
    <row r="108" spans="2:27" x14ac:dyDescent="0.25">
      <c r="B108" s="87" t="s">
        <v>152</v>
      </c>
      <c r="C108" s="182" t="s">
        <v>71</v>
      </c>
      <c r="D108" s="469">
        <f>+CEILING(M110,500)</f>
        <v>0</v>
      </c>
      <c r="E108" s="469"/>
      <c r="F108" s="180"/>
      <c r="G108" s="116">
        <v>0</v>
      </c>
      <c r="H108" s="107">
        <v>0</v>
      </c>
      <c r="I108" s="39" t="s">
        <v>65</v>
      </c>
      <c r="J108" s="92">
        <f t="shared" si="20"/>
        <v>0</v>
      </c>
      <c r="N108" s="94" t="s">
        <v>83</v>
      </c>
    </row>
    <row r="109" spans="2:27" x14ac:dyDescent="0.25">
      <c r="B109" s="87" t="s">
        <v>153</v>
      </c>
      <c r="C109" s="117" t="s">
        <v>72</v>
      </c>
      <c r="D109" s="118"/>
      <c r="E109" s="22"/>
      <c r="G109" s="116">
        <v>0</v>
      </c>
      <c r="H109" s="107">
        <v>0</v>
      </c>
      <c r="I109" s="39" t="s">
        <v>65</v>
      </c>
      <c r="J109" s="92">
        <f t="shared" si="20"/>
        <v>0</v>
      </c>
      <c r="N109" s="94" t="s">
        <v>83</v>
      </c>
    </row>
    <row r="110" spans="2:27" x14ac:dyDescent="0.25">
      <c r="B110" s="470" t="s">
        <v>66</v>
      </c>
      <c r="C110" s="471"/>
      <c r="D110" s="471"/>
      <c r="E110" s="471"/>
      <c r="F110" s="471"/>
      <c r="G110" s="471"/>
      <c r="H110" s="472"/>
      <c r="I110" s="119" t="s">
        <v>65</v>
      </c>
      <c r="J110" s="120">
        <f>SUM(J85:J109)</f>
        <v>107585</v>
      </c>
      <c r="K110" s="121">
        <f>J110+J113</f>
        <v>120085</v>
      </c>
      <c r="N110" s="53"/>
    </row>
    <row r="111" spans="2:27" x14ac:dyDescent="0.25">
      <c r="B111" s="191"/>
      <c r="C111" s="192"/>
      <c r="D111" s="122"/>
      <c r="E111" s="122"/>
      <c r="F111" s="122"/>
      <c r="G111" s="122"/>
      <c r="H111" s="122"/>
      <c r="I111" s="123"/>
      <c r="J111" s="124">
        <v>0.64</v>
      </c>
      <c r="K111" s="93"/>
      <c r="N111" s="53"/>
    </row>
    <row r="112" spans="2:27" x14ac:dyDescent="0.25">
      <c r="B112" s="341"/>
      <c r="C112" s="342"/>
      <c r="D112" s="122"/>
      <c r="E112" s="122"/>
      <c r="F112" s="122"/>
      <c r="G112" s="122"/>
      <c r="H112" s="122"/>
      <c r="I112" s="340" t="s">
        <v>70</v>
      </c>
      <c r="J112" s="120">
        <f>J110/J111</f>
        <v>168101.5625</v>
      </c>
      <c r="K112" s="93"/>
      <c r="N112" s="53"/>
    </row>
    <row r="113" spans="2:22" x14ac:dyDescent="0.25">
      <c r="B113" s="343"/>
      <c r="C113" s="343"/>
      <c r="D113" s="123"/>
      <c r="E113" s="123"/>
      <c r="F113" s="123"/>
      <c r="G113" s="123"/>
      <c r="I113" s="340" t="s">
        <v>312</v>
      </c>
      <c r="J113" s="120">
        <v>12500</v>
      </c>
      <c r="K113" s="93"/>
      <c r="N113" s="53"/>
    </row>
    <row r="114" spans="2:22" x14ac:dyDescent="0.25">
      <c r="B114" s="344"/>
      <c r="C114" s="343"/>
      <c r="D114" s="93"/>
      <c r="E114" s="93"/>
      <c r="F114" s="93"/>
      <c r="G114" s="93"/>
      <c r="H114" s="125"/>
      <c r="I114" s="125"/>
      <c r="J114" s="126">
        <f>J112+J113</f>
        <v>180601.5625</v>
      </c>
      <c r="K114" s="125"/>
      <c r="N114" s="93"/>
    </row>
    <row r="115" spans="2:22" x14ac:dyDescent="0.25">
      <c r="B115" s="344"/>
      <c r="C115" s="343"/>
      <c r="D115" s="93"/>
      <c r="I115" s="184"/>
      <c r="J115" s="127">
        <v>0.9</v>
      </c>
      <c r="K115" s="128"/>
      <c r="S115" s="129" t="s">
        <v>154</v>
      </c>
      <c r="T115" s="129" t="s">
        <v>155</v>
      </c>
      <c r="U115" s="130" t="s">
        <v>156</v>
      </c>
    </row>
    <row r="116" spans="2:22" ht="18" x14ac:dyDescent="0.25">
      <c r="B116" s="344"/>
      <c r="C116" s="343"/>
      <c r="I116" s="184"/>
      <c r="J116" s="131">
        <f>CEILING(J114/J115,500)</f>
        <v>201000</v>
      </c>
      <c r="K116" s="125"/>
      <c r="R116" s="132" t="str">
        <f>+D86</f>
        <v>BIS</v>
      </c>
      <c r="S116" s="133">
        <f>+L80+G86</f>
        <v>26</v>
      </c>
      <c r="T116" s="134">
        <v>122</v>
      </c>
      <c r="U116" s="92">
        <f>+S116*T116</f>
        <v>3172</v>
      </c>
    </row>
    <row r="117" spans="2:22" x14ac:dyDescent="0.25">
      <c r="B117" s="344"/>
      <c r="C117" s="343"/>
      <c r="I117" s="184"/>
      <c r="J117" s="53"/>
      <c r="R117" s="132" t="str">
        <f>+D87</f>
        <v>BIS</v>
      </c>
      <c r="S117" s="133">
        <f>+G87</f>
        <v>102</v>
      </c>
      <c r="T117" s="134">
        <v>122</v>
      </c>
      <c r="U117" s="92">
        <f>+S117*T117</f>
        <v>12444</v>
      </c>
    </row>
    <row r="118" spans="2:22" x14ac:dyDescent="0.25">
      <c r="B118" s="26"/>
      <c r="C118" s="458" t="str">
        <f>D4</f>
        <v>M/s PARAMOUNT</v>
      </c>
      <c r="D118" s="458"/>
      <c r="E118" s="458"/>
      <c r="F118" s="458"/>
      <c r="G118" s="459" t="str">
        <f>M2</f>
        <v>R1</v>
      </c>
      <c r="H118" s="476" t="str">
        <f>N2</f>
        <v>01</v>
      </c>
      <c r="I118" s="473">
        <f>D2</f>
        <v>44530</v>
      </c>
      <c r="J118" s="184"/>
      <c r="K118" s="184"/>
      <c r="S118" s="129"/>
      <c r="T118" s="135"/>
      <c r="U118" s="136">
        <f>SUM(U116:U117)</f>
        <v>15616</v>
      </c>
      <c r="V118" s="113"/>
    </row>
    <row r="119" spans="2:22" s="201" customFormat="1" x14ac:dyDescent="0.25">
      <c r="B119" s="26"/>
      <c r="C119" s="428" t="str">
        <f>D6</f>
        <v>ACID MEASURING TANK (SAC)</v>
      </c>
      <c r="D119" s="429"/>
      <c r="E119" s="429"/>
      <c r="F119" s="430"/>
      <c r="G119" s="460"/>
      <c r="H119" s="477"/>
      <c r="I119" s="474"/>
      <c r="J119" s="202"/>
      <c r="K119" s="202"/>
      <c r="S119" s="129"/>
      <c r="T119" s="135"/>
      <c r="U119" s="136"/>
      <c r="V119" s="113"/>
    </row>
    <row r="120" spans="2:22" x14ac:dyDescent="0.25">
      <c r="B120" s="26"/>
      <c r="C120" s="431" t="str">
        <f>D20</f>
        <v>M.O.C- FRP (BISPHENOL)</v>
      </c>
      <c r="D120" s="432"/>
      <c r="E120" s="432"/>
      <c r="F120" s="433"/>
      <c r="G120" s="461"/>
      <c r="H120" s="478"/>
      <c r="I120" s="475"/>
      <c r="J120" s="184"/>
      <c r="K120" s="184"/>
      <c r="S120" s="129"/>
      <c r="T120" s="137">
        <f>+B113</f>
        <v>0</v>
      </c>
      <c r="U120" s="138">
        <f>+C113</f>
        <v>0</v>
      </c>
    </row>
    <row r="121" spans="2:22" s="284" customFormat="1" ht="20.25" x14ac:dyDescent="0.25">
      <c r="B121" s="26"/>
      <c r="C121" s="288" t="s">
        <v>91</v>
      </c>
      <c r="D121" s="355">
        <f>D5</f>
        <v>1.3571680263507906</v>
      </c>
      <c r="E121" s="289" t="s">
        <v>92</v>
      </c>
      <c r="F121" s="290"/>
      <c r="G121" s="282"/>
      <c r="H121" s="287"/>
      <c r="I121" s="286"/>
      <c r="J121" s="281"/>
      <c r="K121" s="281"/>
      <c r="S121" s="129"/>
      <c r="T121" s="137"/>
      <c r="U121" s="138"/>
    </row>
    <row r="122" spans="2:22" s="189" customFormat="1" ht="17.25" customHeight="1" x14ac:dyDescent="0.25">
      <c r="B122" s="139"/>
      <c r="C122" s="205"/>
      <c r="D122" s="207" t="s">
        <v>154</v>
      </c>
      <c r="E122" s="437" t="s">
        <v>195</v>
      </c>
      <c r="F122" s="438"/>
      <c r="G122" s="208" t="s">
        <v>156</v>
      </c>
      <c r="H122" s="127" t="s">
        <v>159</v>
      </c>
      <c r="I122" s="127" t="s">
        <v>160</v>
      </c>
      <c r="J122" s="6"/>
      <c r="K122" s="6"/>
      <c r="S122" s="140"/>
      <c r="T122" s="141">
        <f>+B116</f>
        <v>0</v>
      </c>
      <c r="U122" s="143">
        <f>+C116</f>
        <v>0</v>
      </c>
      <c r="V122" s="27"/>
    </row>
    <row r="123" spans="2:22" s="285" customFormat="1" ht="17.25" customHeight="1" x14ac:dyDescent="0.25">
      <c r="B123" s="139"/>
      <c r="C123" s="205">
        <f>D22</f>
        <v>0</v>
      </c>
      <c r="D123" s="333">
        <f>CEILING(G85+J80,1)</f>
        <v>14</v>
      </c>
      <c r="E123" s="134">
        <f>'RESIN RATE'!E6</f>
        <v>0</v>
      </c>
      <c r="F123" s="144">
        <f>D123*E123</f>
        <v>0</v>
      </c>
      <c r="G123" s="144">
        <f>F123</f>
        <v>0</v>
      </c>
      <c r="H123" s="334">
        <v>0.6</v>
      </c>
      <c r="I123" s="92">
        <f>G123/H123</f>
        <v>0</v>
      </c>
      <c r="J123" s="6"/>
      <c r="K123" s="6"/>
      <c r="S123" s="140"/>
      <c r="T123" s="141"/>
      <c r="U123" s="143"/>
      <c r="V123" s="27"/>
    </row>
    <row r="124" spans="2:22" ht="17.25" customHeight="1" x14ac:dyDescent="0.25">
      <c r="B124" s="26"/>
      <c r="C124" s="211" t="str">
        <f>D86</f>
        <v>BIS</v>
      </c>
      <c r="D124" s="145">
        <f>G86+G87+G88+M80+K90+K99+K100</f>
        <v>164.29999999999998</v>
      </c>
      <c r="E124" s="134">
        <f>'RESIN RATE'!D6</f>
        <v>325</v>
      </c>
      <c r="F124" s="144">
        <f>+D124*E124</f>
        <v>53397.499999999993</v>
      </c>
      <c r="G124" s="436">
        <f>SUM(F124:F125)</f>
        <v>53397.499999999993</v>
      </c>
      <c r="H124" s="435">
        <v>0.5</v>
      </c>
      <c r="I124" s="434">
        <f>G124/H124</f>
        <v>106794.99999999999</v>
      </c>
      <c r="J124" s="184"/>
      <c r="K124" s="184"/>
      <c r="S124" s="129"/>
      <c r="T124" s="135" t="e">
        <f>+#REF!</f>
        <v>#REF!</v>
      </c>
      <c r="U124" s="137" t="e">
        <f>+#REF!</f>
        <v>#REF!</v>
      </c>
      <c r="V124" s="146"/>
    </row>
    <row r="125" spans="2:22" x14ac:dyDescent="0.25">
      <c r="B125" s="147"/>
      <c r="C125" s="211" t="str">
        <f>D88</f>
        <v>BIS</v>
      </c>
      <c r="D125" s="145">
        <v>0</v>
      </c>
      <c r="E125" s="134">
        <f>'RESIN RATE'!D6</f>
        <v>325</v>
      </c>
      <c r="F125" s="144">
        <f t="shared" ref="F125:F127" si="21">+D125*E125</f>
        <v>0</v>
      </c>
      <c r="G125" s="436"/>
      <c r="H125" s="435"/>
      <c r="I125" s="434"/>
      <c r="J125" s="184"/>
      <c r="K125" s="184"/>
      <c r="S125" s="146"/>
      <c r="T125" s="129"/>
      <c r="U125" s="148" t="e">
        <f>+U118+#REF!</f>
        <v>#REF!</v>
      </c>
      <c r="V125" s="146"/>
    </row>
    <row r="126" spans="2:22" x14ac:dyDescent="0.25">
      <c r="B126" s="147"/>
      <c r="C126" s="150" t="s">
        <v>157</v>
      </c>
      <c r="D126" s="145">
        <f>(D124+D125)*0.5</f>
        <v>82.149999999999991</v>
      </c>
      <c r="E126" s="134">
        <v>198</v>
      </c>
      <c r="F126" s="144">
        <f t="shared" si="21"/>
        <v>16265.699999999999</v>
      </c>
      <c r="G126" s="436">
        <f>SUM(F126:F127)</f>
        <v>19551.699999999997</v>
      </c>
      <c r="H126" s="435">
        <v>0.55000000000000004</v>
      </c>
      <c r="I126" s="434">
        <f>G126/H126</f>
        <v>35548.545454545449</v>
      </c>
      <c r="J126" s="184"/>
      <c r="K126" s="184"/>
    </row>
    <row r="127" spans="2:22" x14ac:dyDescent="0.25">
      <c r="B127" s="147"/>
      <c r="C127" s="150" t="s">
        <v>158</v>
      </c>
      <c r="D127" s="145">
        <f>+D125+D124</f>
        <v>164.29999999999998</v>
      </c>
      <c r="E127" s="134">
        <v>20</v>
      </c>
      <c r="F127" s="144">
        <f t="shared" si="21"/>
        <v>3285.9999999999995</v>
      </c>
      <c r="G127" s="436"/>
      <c r="H127" s="435"/>
      <c r="I127" s="434"/>
      <c r="J127" s="184"/>
      <c r="K127" s="184"/>
    </row>
    <row r="128" spans="2:22" s="284" customFormat="1" x14ac:dyDescent="0.25">
      <c r="B128" s="147"/>
      <c r="C128" s="339" t="s">
        <v>264</v>
      </c>
      <c r="D128" s="145">
        <v>1</v>
      </c>
      <c r="E128" s="134"/>
      <c r="F128" s="144">
        <f>J89</f>
        <v>0</v>
      </c>
      <c r="G128" s="283">
        <f>F128</f>
        <v>0</v>
      </c>
      <c r="H128" s="338">
        <v>0.6</v>
      </c>
      <c r="I128" s="335">
        <f>G128/H128</f>
        <v>0</v>
      </c>
      <c r="J128" s="281"/>
      <c r="K128" s="281"/>
    </row>
    <row r="129" spans="2:11" x14ac:dyDescent="0.25">
      <c r="B129" s="147"/>
      <c r="C129" s="479" t="s">
        <v>81</v>
      </c>
      <c r="D129" s="198" t="s">
        <v>260</v>
      </c>
      <c r="E129" s="134"/>
      <c r="F129" s="92">
        <f>J92+J94</f>
        <v>3800</v>
      </c>
      <c r="G129" s="482">
        <f>SUM(F129:F137)</f>
        <v>17540</v>
      </c>
      <c r="H129" s="488">
        <v>0.7</v>
      </c>
      <c r="I129" s="485">
        <f>G129/H129</f>
        <v>25057.142857142859</v>
      </c>
      <c r="J129" s="184"/>
      <c r="K129" s="184"/>
    </row>
    <row r="130" spans="2:11" x14ac:dyDescent="0.25">
      <c r="B130" s="147"/>
      <c r="C130" s="480"/>
      <c r="D130" s="198" t="s">
        <v>261</v>
      </c>
      <c r="E130" s="134"/>
      <c r="F130" s="92">
        <f>J93+J95</f>
        <v>4200</v>
      </c>
      <c r="G130" s="483"/>
      <c r="H130" s="489"/>
      <c r="I130" s="486"/>
      <c r="J130" s="184"/>
      <c r="K130" s="184"/>
    </row>
    <row r="131" spans="2:11" ht="17.25" customHeight="1" x14ac:dyDescent="0.25">
      <c r="B131" s="26"/>
      <c r="C131" s="480"/>
      <c r="D131" s="149" t="s">
        <v>162</v>
      </c>
      <c r="E131" s="134"/>
      <c r="F131" s="92">
        <f>J100</f>
        <v>2340</v>
      </c>
      <c r="G131" s="483"/>
      <c r="H131" s="489"/>
      <c r="I131" s="486"/>
      <c r="J131" s="184"/>
      <c r="K131" s="184"/>
    </row>
    <row r="132" spans="2:11" ht="25.5" x14ac:dyDescent="0.25">
      <c r="B132" s="26"/>
      <c r="C132" s="480"/>
      <c r="D132" s="149" t="s">
        <v>134</v>
      </c>
      <c r="E132" s="134"/>
      <c r="F132" s="92">
        <f>J96</f>
        <v>2200</v>
      </c>
      <c r="G132" s="483"/>
      <c r="H132" s="489"/>
      <c r="I132" s="486"/>
      <c r="J132" s="184"/>
      <c r="K132" s="184"/>
    </row>
    <row r="133" spans="2:11" s="325" customFormat="1" x14ac:dyDescent="0.25">
      <c r="B133" s="26"/>
      <c r="C133" s="480"/>
      <c r="D133" s="149" t="s">
        <v>84</v>
      </c>
      <c r="E133" s="134"/>
      <c r="F133" s="92">
        <f t="shared" ref="F133" si="22">J103</f>
        <v>750</v>
      </c>
      <c r="G133" s="483"/>
      <c r="H133" s="489"/>
      <c r="I133" s="486"/>
      <c r="J133" s="329"/>
      <c r="K133" s="329"/>
    </row>
    <row r="134" spans="2:11" s="374" customFormat="1" x14ac:dyDescent="0.25">
      <c r="B134" s="26"/>
      <c r="C134" s="480"/>
      <c r="D134" s="410" t="s">
        <v>336</v>
      </c>
      <c r="E134" s="134"/>
      <c r="F134" s="92">
        <f>J98</f>
        <v>2000</v>
      </c>
      <c r="G134" s="483"/>
      <c r="H134" s="489"/>
      <c r="I134" s="486"/>
      <c r="J134" s="364"/>
      <c r="K134" s="364"/>
    </row>
    <row r="135" spans="2:11" s="325" customFormat="1" x14ac:dyDescent="0.25">
      <c r="B135" s="26"/>
      <c r="C135" s="480"/>
      <c r="D135" s="149" t="s">
        <v>268</v>
      </c>
      <c r="E135" s="134"/>
      <c r="F135" s="92">
        <f>J103</f>
        <v>750</v>
      </c>
      <c r="G135" s="483"/>
      <c r="H135" s="489"/>
      <c r="I135" s="486"/>
      <c r="J135" s="329"/>
      <c r="K135" s="329"/>
    </row>
    <row r="136" spans="2:11" s="284" customFormat="1" x14ac:dyDescent="0.25">
      <c r="B136" s="26"/>
      <c r="C136" s="480"/>
      <c r="D136" s="149" t="s">
        <v>262</v>
      </c>
      <c r="E136" s="134"/>
      <c r="F136" s="92">
        <f>J105</f>
        <v>1500</v>
      </c>
      <c r="G136" s="483"/>
      <c r="H136" s="489"/>
      <c r="I136" s="486"/>
      <c r="J136" s="281"/>
      <c r="K136" s="281"/>
    </row>
    <row r="137" spans="2:11" ht="15" customHeight="1" x14ac:dyDescent="0.25">
      <c r="C137" s="481"/>
      <c r="D137" s="337" t="s">
        <v>263</v>
      </c>
      <c r="E137" s="337"/>
      <c r="F137" s="92">
        <f>J106</f>
        <v>0</v>
      </c>
      <c r="G137" s="484"/>
      <c r="H137" s="490"/>
      <c r="I137" s="487"/>
      <c r="J137" s="184"/>
      <c r="K137" s="184"/>
    </row>
    <row r="138" spans="2:11" ht="15.75" x14ac:dyDescent="0.25">
      <c r="B138" s="26"/>
      <c r="C138" s="179"/>
      <c r="D138" s="179"/>
      <c r="E138" s="179"/>
      <c r="F138" s="153" t="s">
        <v>57</v>
      </c>
      <c r="G138" s="153">
        <f>SUM(G124:G137)</f>
        <v>90489.199999999983</v>
      </c>
      <c r="H138" s="200">
        <f>G138/I138</f>
        <v>0.5402340298507462</v>
      </c>
      <c r="I138" s="153">
        <f>CEILING(SUM(I123:I137),500)</f>
        <v>167500</v>
      </c>
      <c r="J138" s="146"/>
      <c r="K138" s="184"/>
    </row>
    <row r="139" spans="2:11" x14ac:dyDescent="0.25">
      <c r="B139" s="26"/>
      <c r="C139" s="193" t="s">
        <v>70</v>
      </c>
      <c r="D139" s="194" t="s">
        <v>312</v>
      </c>
      <c r="E139" s="195"/>
      <c r="F139" s="196"/>
      <c r="G139" s="197"/>
      <c r="H139" s="217"/>
      <c r="I139" s="151">
        <v>15000</v>
      </c>
      <c r="J139" s="6"/>
      <c r="K139" s="6"/>
    </row>
    <row r="140" spans="2:11" ht="22.5" customHeight="1" x14ac:dyDescent="0.25">
      <c r="B140" s="155"/>
      <c r="F140" s="152"/>
      <c r="G140" s="152"/>
      <c r="H140" s="218">
        <f>G138/I140</f>
        <v>0.49583123287671221</v>
      </c>
      <c r="I140" s="199">
        <f>I138+I139</f>
        <v>182500</v>
      </c>
      <c r="J140" s="146"/>
      <c r="K140" s="184"/>
    </row>
    <row r="141" spans="2:11" ht="15.75" x14ac:dyDescent="0.25">
      <c r="C141" s="456" t="s">
        <v>164</v>
      </c>
      <c r="D141" s="457">
        <f>G138+I139</f>
        <v>105489.19999999998</v>
      </c>
      <c r="H141" s="142" t="s">
        <v>163</v>
      </c>
      <c r="I141" s="154">
        <v>0.9</v>
      </c>
      <c r="J141" s="146"/>
      <c r="K141" s="184"/>
    </row>
    <row r="142" spans="2:11" ht="18" x14ac:dyDescent="0.25">
      <c r="C142" s="456"/>
      <c r="D142" s="457"/>
      <c r="H142" s="218">
        <f>G138/I142</f>
        <v>0.44575960591132996</v>
      </c>
      <c r="I142" s="156">
        <f>CEILING(I140/I141,500)</f>
        <v>203000</v>
      </c>
      <c r="J142" s="209"/>
      <c r="K142" s="210"/>
    </row>
  </sheetData>
  <sheetProtection selectLockedCells="1"/>
  <autoFilter ref="L84:N115"/>
  <mergeCells count="41">
    <mergeCell ref="G126:G127"/>
    <mergeCell ref="C129:C137"/>
    <mergeCell ref="G129:G137"/>
    <mergeCell ref="I129:I137"/>
    <mergeCell ref="H129:H137"/>
    <mergeCell ref="I126:I127"/>
    <mergeCell ref="H126:H127"/>
    <mergeCell ref="N2:N4"/>
    <mergeCell ref="J5:J7"/>
    <mergeCell ref="L5:L7"/>
    <mergeCell ref="C141:C142"/>
    <mergeCell ref="D141:D142"/>
    <mergeCell ref="C118:F118"/>
    <mergeCell ref="G118:G120"/>
    <mergeCell ref="D21:G21"/>
    <mergeCell ref="H21:H22"/>
    <mergeCell ref="I21:I22"/>
    <mergeCell ref="M2:M4"/>
    <mergeCell ref="F10:G12"/>
    <mergeCell ref="D108:E108"/>
    <mergeCell ref="B110:H110"/>
    <mergeCell ref="I118:I120"/>
    <mergeCell ref="H118:H120"/>
    <mergeCell ref="T8:T10"/>
    <mergeCell ref="J11:L11"/>
    <mergeCell ref="J12:L12"/>
    <mergeCell ref="J13:L13"/>
    <mergeCell ref="J14:L14"/>
    <mergeCell ref="R8:R10"/>
    <mergeCell ref="X37:Y37"/>
    <mergeCell ref="Z37:AA37"/>
    <mergeCell ref="AB37:AC37"/>
    <mergeCell ref="AD37:AE37"/>
    <mergeCell ref="V58:W58"/>
    <mergeCell ref="V37:W37"/>
    <mergeCell ref="C119:F119"/>
    <mergeCell ref="C120:F120"/>
    <mergeCell ref="I124:I125"/>
    <mergeCell ref="H124:H125"/>
    <mergeCell ref="G124:G125"/>
    <mergeCell ref="E122:F122"/>
  </mergeCells>
  <dataValidations count="2">
    <dataValidation type="list" allowBlank="1" showInputMessage="1" showErrorMessage="1" sqref="H40:H57">
      <formula1>$P$40:$P$57</formula1>
    </dataValidation>
    <dataValidation type="list" allowBlank="1" showInputMessage="1" showErrorMessage="1" sqref="H61:H78">
      <formula1>$P$60:$P$78</formula1>
    </dataValidation>
  </dataValidations>
  <printOptions horizontalCentered="1" verticalCentered="1"/>
  <pageMargins left="0.39370078740157483" right="0.19685039370078741" top="0.19685039370078741" bottom="0.19685039370078741" header="0" footer="0"/>
  <pageSetup paperSize="9" scale="52" orientation="portrait" r:id="rId1"/>
  <ignoredErrors>
    <ignoredError sqref="F135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B1:AE142"/>
  <sheetViews>
    <sheetView view="pageBreakPreview" topLeftCell="A127" zoomScaleNormal="115" zoomScaleSheetLayoutView="100" workbookViewId="0">
      <selection activeCell="O135" sqref="O135"/>
    </sheetView>
  </sheetViews>
  <sheetFormatPr defaultColWidth="9.140625" defaultRowHeight="15" x14ac:dyDescent="0.25"/>
  <cols>
    <col min="1" max="1" width="3.42578125" style="325" customWidth="1"/>
    <col min="2" max="2" width="7.140625" style="325" customWidth="1"/>
    <col min="3" max="3" width="12.5703125" style="325" customWidth="1"/>
    <col min="4" max="4" width="12.85546875" style="325" customWidth="1"/>
    <col min="5" max="5" width="9" style="325" customWidth="1"/>
    <col min="6" max="6" width="13.42578125" style="325" customWidth="1"/>
    <col min="7" max="7" width="13" style="325" customWidth="1"/>
    <col min="8" max="8" width="13.7109375" style="329" customWidth="1"/>
    <col min="9" max="9" width="17.42578125" style="325" customWidth="1"/>
    <col min="10" max="12" width="11.28515625" style="325" customWidth="1"/>
    <col min="13" max="13" width="11" style="325" customWidth="1"/>
    <col min="14" max="14" width="10.7109375" style="325" customWidth="1"/>
    <col min="15" max="15" width="12.7109375" style="325" bestFit="1" customWidth="1"/>
    <col min="16" max="16" width="9.7109375" style="325" bestFit="1" customWidth="1"/>
    <col min="17" max="17" width="9.28515625" style="325" bestFit="1" customWidth="1"/>
    <col min="18" max="18" width="9" style="325" bestFit="1" customWidth="1"/>
    <col min="19" max="19" width="12.28515625" style="325" bestFit="1" customWidth="1"/>
    <col min="20" max="20" width="8" style="325" bestFit="1" customWidth="1"/>
    <col min="21" max="21" width="9.5703125" style="325" customWidth="1"/>
    <col min="22" max="22" width="3.42578125" style="325" bestFit="1" customWidth="1"/>
    <col min="23" max="23" width="4.42578125" style="325" bestFit="1" customWidth="1"/>
    <col min="24" max="24" width="3.42578125" style="325" bestFit="1" customWidth="1"/>
    <col min="25" max="25" width="4.42578125" style="325" bestFit="1" customWidth="1"/>
    <col min="26" max="29" width="6.7109375" style="325" bestFit="1" customWidth="1"/>
    <col min="30" max="30" width="9.7109375" style="325" bestFit="1" customWidth="1"/>
    <col min="31" max="31" width="15.85546875" style="325" bestFit="1" customWidth="1"/>
    <col min="32" max="16384" width="9.140625" style="325"/>
  </cols>
  <sheetData>
    <row r="1" spans="3:20" s="382" customFormat="1" x14ac:dyDescent="0.25">
      <c r="C1" s="5" t="s">
        <v>61</v>
      </c>
      <c r="D1" s="203">
        <f>'01_1.35 KL'!D1</f>
        <v>44551</v>
      </c>
      <c r="E1" s="412" t="s">
        <v>320</v>
      </c>
      <c r="H1" s="383"/>
    </row>
    <row r="2" spans="3:20" ht="15" customHeight="1" x14ac:dyDescent="0.25">
      <c r="C2" s="5" t="s">
        <v>61</v>
      </c>
      <c r="D2" s="203">
        <f>'01_1.35 KL'!D2</f>
        <v>44530</v>
      </c>
      <c r="E2" s="412" t="s">
        <v>335</v>
      </c>
      <c r="F2" s="203"/>
      <c r="G2" s="203"/>
      <c r="I2" s="329"/>
      <c r="J2" s="6"/>
      <c r="K2" s="6"/>
      <c r="L2" s="7"/>
      <c r="M2" s="497" t="str">
        <f>'01_1.35 KL'!M2:M4</f>
        <v>R1</v>
      </c>
      <c r="N2" s="498" t="s">
        <v>273</v>
      </c>
    </row>
    <row r="3" spans="3:20" ht="15.75" customHeight="1" x14ac:dyDescent="0.25">
      <c r="C3" s="5" t="s">
        <v>73</v>
      </c>
      <c r="D3" s="5" t="s">
        <v>231</v>
      </c>
      <c r="E3" s="5"/>
      <c r="F3" s="8"/>
      <c r="G3" s="8"/>
      <c r="H3" s="9"/>
      <c r="I3" s="8"/>
      <c r="J3" s="8"/>
      <c r="K3" s="8"/>
      <c r="L3" s="7"/>
      <c r="M3" s="497"/>
      <c r="N3" s="499"/>
    </row>
    <row r="4" spans="3:20" ht="15.75" customHeight="1" x14ac:dyDescent="0.25">
      <c r="C4" s="5" t="s">
        <v>74</v>
      </c>
      <c r="D4" s="5" t="s">
        <v>232</v>
      </c>
      <c r="E4" s="5"/>
      <c r="F4" s="5"/>
      <c r="G4" s="5"/>
      <c r="H4" s="5"/>
      <c r="I4" s="5"/>
      <c r="J4" s="5"/>
      <c r="K4" s="9"/>
      <c r="L4" s="7"/>
      <c r="M4" s="497"/>
      <c r="N4" s="499"/>
    </row>
    <row r="5" spans="3:20" ht="15.75" customHeight="1" x14ac:dyDescent="0.25">
      <c r="C5" s="5" t="s">
        <v>91</v>
      </c>
      <c r="D5" s="206">
        <f>M11</f>
        <v>2.1205750411731103E-2</v>
      </c>
      <c r="E5" s="6" t="s">
        <v>92</v>
      </c>
      <c r="F5" s="329"/>
      <c r="G5" s="329"/>
      <c r="I5" s="329"/>
      <c r="J5" s="454"/>
      <c r="K5" s="329"/>
      <c r="L5" s="454"/>
      <c r="M5" s="10"/>
    </row>
    <row r="6" spans="3:20" ht="15.75" customHeight="1" x14ac:dyDescent="0.25">
      <c r="C6" s="5" t="s">
        <v>93</v>
      </c>
      <c r="D6" s="5" t="s">
        <v>265</v>
      </c>
      <c r="E6" s="6"/>
      <c r="F6" s="329"/>
      <c r="G6" s="329"/>
      <c r="I6" s="329"/>
      <c r="J6" s="454"/>
      <c r="K6" s="329"/>
      <c r="L6" s="454"/>
      <c r="M6" s="10"/>
      <c r="N6" s="332"/>
      <c r="O6" s="328"/>
    </row>
    <row r="7" spans="3:20" ht="15" customHeight="1" x14ac:dyDescent="0.25">
      <c r="D7" s="178"/>
      <c r="E7" s="5"/>
      <c r="F7" s="5"/>
      <c r="G7" s="5"/>
      <c r="I7" s="329"/>
      <c r="J7" s="455"/>
      <c r="K7" s="329"/>
      <c r="L7" s="455"/>
      <c r="N7" s="7"/>
    </row>
    <row r="8" spans="3:20" x14ac:dyDescent="0.25">
      <c r="D8" s="5"/>
      <c r="J8" s="11"/>
      <c r="K8" s="12"/>
      <c r="L8" s="13"/>
      <c r="R8" s="442"/>
      <c r="S8" s="323"/>
      <c r="T8" s="442"/>
    </row>
    <row r="9" spans="3:20" x14ac:dyDescent="0.25">
      <c r="D9" s="5"/>
      <c r="J9" s="324"/>
      <c r="L9" s="326"/>
      <c r="R9" s="442"/>
      <c r="S9" s="323"/>
      <c r="T9" s="442"/>
    </row>
    <row r="10" spans="3:20" x14ac:dyDescent="0.25">
      <c r="C10" s="14" t="s">
        <v>94</v>
      </c>
      <c r="D10" s="15">
        <f>+J13/1000</f>
        <v>0.3</v>
      </c>
      <c r="E10" s="327"/>
      <c r="F10" s="468" t="s">
        <v>266</v>
      </c>
      <c r="G10" s="468"/>
      <c r="J10" s="324"/>
      <c r="L10" s="326"/>
      <c r="R10" s="442"/>
      <c r="S10" s="323"/>
      <c r="T10" s="442"/>
    </row>
    <row r="11" spans="3:20" x14ac:dyDescent="0.25">
      <c r="C11" s="14" t="s">
        <v>95</v>
      </c>
      <c r="D11" s="15">
        <f>+I13/1000</f>
        <v>0.3</v>
      </c>
      <c r="E11" s="327"/>
      <c r="F11" s="468"/>
      <c r="G11" s="468"/>
      <c r="J11" s="443"/>
      <c r="K11" s="444"/>
      <c r="L11" s="445"/>
      <c r="M11" s="16">
        <f>(PI()/4)*(DIA^2)*HT</f>
        <v>2.1205750411731103E-2</v>
      </c>
    </row>
    <row r="12" spans="3:20" x14ac:dyDescent="0.25">
      <c r="C12" s="17" t="s">
        <v>5</v>
      </c>
      <c r="D12" s="18">
        <v>15</v>
      </c>
      <c r="E12" s="327"/>
      <c r="F12" s="468"/>
      <c r="G12" s="468"/>
      <c r="I12" s="327" t="s">
        <v>95</v>
      </c>
      <c r="J12" s="446" t="s">
        <v>94</v>
      </c>
      <c r="K12" s="447"/>
      <c r="L12" s="448"/>
    </row>
    <row r="13" spans="3:20" x14ac:dyDescent="0.25">
      <c r="C13" s="14" t="s">
        <v>96</v>
      </c>
      <c r="D13" s="19">
        <f>+HT/5</f>
        <v>0.06</v>
      </c>
      <c r="F13" s="327"/>
      <c r="G13" s="327"/>
      <c r="I13" s="20">
        <v>300</v>
      </c>
      <c r="J13" s="449">
        <v>300</v>
      </c>
      <c r="K13" s="450"/>
      <c r="L13" s="451"/>
    </row>
    <row r="14" spans="3:20" x14ac:dyDescent="0.25">
      <c r="C14" s="14" t="s">
        <v>97</v>
      </c>
      <c r="D14" s="19">
        <f>+HT/5</f>
        <v>0.06</v>
      </c>
      <c r="E14" s="327"/>
      <c r="F14" s="327"/>
      <c r="G14" s="327"/>
      <c r="I14" s="327" t="s">
        <v>98</v>
      </c>
      <c r="J14" s="446" t="s">
        <v>98</v>
      </c>
      <c r="K14" s="447"/>
      <c r="L14" s="448"/>
    </row>
    <row r="15" spans="3:20" x14ac:dyDescent="0.25">
      <c r="C15" s="14" t="s">
        <v>99</v>
      </c>
      <c r="D15" s="19">
        <f>+HT/5</f>
        <v>0.06</v>
      </c>
      <c r="E15" s="327"/>
      <c r="F15" s="327"/>
      <c r="G15" s="327"/>
      <c r="J15" s="324"/>
      <c r="L15" s="326"/>
    </row>
    <row r="16" spans="3:20" x14ac:dyDescent="0.25">
      <c r="C16" s="14" t="s">
        <v>100</v>
      </c>
      <c r="D16" s="19">
        <f>+HT/5</f>
        <v>0.06</v>
      </c>
      <c r="E16" s="327"/>
      <c r="F16" s="327"/>
      <c r="G16" s="327"/>
      <c r="J16" s="21"/>
      <c r="K16" s="22"/>
      <c r="L16" s="23"/>
    </row>
    <row r="17" spans="2:14" x14ac:dyDescent="0.25">
      <c r="C17" s="14" t="s">
        <v>101</v>
      </c>
      <c r="D17" s="19">
        <f>+HT/5</f>
        <v>0.06</v>
      </c>
      <c r="E17" s="327"/>
      <c r="F17" s="327"/>
      <c r="G17" s="327"/>
    </row>
    <row r="18" spans="2:14" x14ac:dyDescent="0.25">
      <c r="C18" s="24" t="s">
        <v>75</v>
      </c>
      <c r="D18" s="25">
        <f>+DIA*1.2+0.1</f>
        <v>0.45999999999999996</v>
      </c>
      <c r="E18" s="327"/>
      <c r="F18" s="327"/>
      <c r="G18" s="327"/>
    </row>
    <row r="19" spans="2:14" x14ac:dyDescent="0.25">
      <c r="J19" s="26"/>
      <c r="L19" s="26"/>
    </row>
    <row r="20" spans="2:14" ht="17.25" customHeight="1" x14ac:dyDescent="0.25">
      <c r="D20" s="139" t="s">
        <v>323</v>
      </c>
      <c r="J20" s="26"/>
      <c r="L20" s="26"/>
    </row>
    <row r="21" spans="2:14" s="28" customFormat="1" ht="15" customHeight="1" x14ac:dyDescent="0.25">
      <c r="D21" s="462" t="s">
        <v>0</v>
      </c>
      <c r="E21" s="463"/>
      <c r="F21" s="463"/>
      <c r="G21" s="463"/>
      <c r="H21" s="464" t="s">
        <v>1</v>
      </c>
      <c r="I21" s="466" t="s">
        <v>11</v>
      </c>
      <c r="J21" s="331">
        <f>D22</f>
        <v>0</v>
      </c>
      <c r="K21" s="29" t="s">
        <v>2</v>
      </c>
      <c r="L21" s="331" t="str">
        <f>E22</f>
        <v>BIS</v>
      </c>
      <c r="M21" s="331" t="str">
        <f>F22</f>
        <v>BIS</v>
      </c>
      <c r="N21" s="331" t="str">
        <f>G22</f>
        <v>BIS</v>
      </c>
    </row>
    <row r="22" spans="2:14" s="28" customFormat="1" ht="15" customHeight="1" x14ac:dyDescent="0.25">
      <c r="B22" s="30"/>
      <c r="C22" s="31" t="s">
        <v>102</v>
      </c>
      <c r="D22" s="331"/>
      <c r="E22" s="331" t="s">
        <v>319</v>
      </c>
      <c r="F22" s="331" t="s">
        <v>319</v>
      </c>
      <c r="G22" s="331" t="s">
        <v>319</v>
      </c>
      <c r="H22" s="465"/>
      <c r="I22" s="466"/>
      <c r="J22" s="331" t="s">
        <v>77</v>
      </c>
      <c r="K22" s="29" t="s">
        <v>77</v>
      </c>
      <c r="L22" s="331" t="s">
        <v>78</v>
      </c>
      <c r="M22" s="331" t="s">
        <v>78</v>
      </c>
      <c r="N22" s="331" t="s">
        <v>78</v>
      </c>
    </row>
    <row r="23" spans="2:14" x14ac:dyDescent="0.25">
      <c r="B23" s="32"/>
      <c r="C23" s="325">
        <v>6</v>
      </c>
      <c r="D23" s="33"/>
      <c r="E23" s="34">
        <v>3</v>
      </c>
      <c r="F23" s="35">
        <f>C23-E23-G23</f>
        <v>2</v>
      </c>
      <c r="G23" s="34">
        <v>1</v>
      </c>
      <c r="H23" s="36" t="s">
        <v>103</v>
      </c>
      <c r="I23" s="37">
        <v>1</v>
      </c>
      <c r="J23" s="38">
        <f>PI()*DIA*D13*I23</f>
        <v>5.6548667764616277E-2</v>
      </c>
      <c r="K23" s="38">
        <f>PI()*DIA*D13</f>
        <v>5.6548667764616277E-2</v>
      </c>
      <c r="L23" s="39">
        <f>K23*E23*I23</f>
        <v>0.16964600329384882</v>
      </c>
      <c r="M23" s="39">
        <f>K23*F23*I23</f>
        <v>0.11309733552923255</v>
      </c>
      <c r="N23" s="39">
        <f>K23*G23*I23</f>
        <v>5.6548667764616277E-2</v>
      </c>
    </row>
    <row r="24" spans="2:14" x14ac:dyDescent="0.25">
      <c r="B24" s="32"/>
      <c r="C24" s="325">
        <v>6</v>
      </c>
      <c r="D24" s="33"/>
      <c r="E24" s="34">
        <v>3</v>
      </c>
      <c r="F24" s="35">
        <f t="shared" ref="F24:F36" si="0">C24-E24-G24</f>
        <v>2</v>
      </c>
      <c r="G24" s="34">
        <v>1</v>
      </c>
      <c r="H24" s="36" t="s">
        <v>104</v>
      </c>
      <c r="I24" s="37">
        <v>1</v>
      </c>
      <c r="J24" s="38">
        <f>PI()*DIA*B.M.S.H*I24</f>
        <v>5.6548667764616277E-2</v>
      </c>
      <c r="K24" s="38">
        <f>PI()*DIA*B.M.S.H</f>
        <v>5.6548667764616277E-2</v>
      </c>
      <c r="L24" s="39">
        <f t="shared" ref="L24:L30" si="1">K24*E24*I24</f>
        <v>0.16964600329384882</v>
      </c>
      <c r="M24" s="39">
        <f t="shared" ref="M24:M36" si="2">K24*F24*I24</f>
        <v>0.11309733552923255</v>
      </c>
      <c r="N24" s="39">
        <f t="shared" ref="N24:N31" si="3">K24*G24*I24</f>
        <v>5.6548667764616277E-2</v>
      </c>
    </row>
    <row r="25" spans="2:14" x14ac:dyDescent="0.25">
      <c r="B25" s="32"/>
      <c r="C25" s="325">
        <v>6</v>
      </c>
      <c r="D25" s="33"/>
      <c r="E25" s="34">
        <v>3</v>
      </c>
      <c r="F25" s="35">
        <f t="shared" si="0"/>
        <v>2</v>
      </c>
      <c r="G25" s="34">
        <v>1</v>
      </c>
      <c r="H25" s="36" t="s">
        <v>105</v>
      </c>
      <c r="I25" s="37">
        <v>1</v>
      </c>
      <c r="J25" s="38">
        <f>PI()*DIA*M.S.H*I25</f>
        <v>5.6548667764616277E-2</v>
      </c>
      <c r="K25" s="38">
        <f>PI()*DIA*M.S.H</f>
        <v>5.6548667764616277E-2</v>
      </c>
      <c r="L25" s="39">
        <f t="shared" si="1"/>
        <v>0.16964600329384882</v>
      </c>
      <c r="M25" s="39">
        <f t="shared" si="2"/>
        <v>0.11309733552923255</v>
      </c>
      <c r="N25" s="39">
        <f t="shared" si="3"/>
        <v>5.6548667764616277E-2</v>
      </c>
    </row>
    <row r="26" spans="2:14" x14ac:dyDescent="0.25">
      <c r="B26" s="32"/>
      <c r="C26" s="325">
        <v>6</v>
      </c>
      <c r="D26" s="33"/>
      <c r="E26" s="34">
        <v>3</v>
      </c>
      <c r="F26" s="35">
        <f t="shared" si="0"/>
        <v>2</v>
      </c>
      <c r="G26" s="34">
        <v>1</v>
      </c>
      <c r="H26" s="36" t="s">
        <v>106</v>
      </c>
      <c r="I26" s="37">
        <v>1</v>
      </c>
      <c r="J26" s="38">
        <f>PI()*DIA*T.M.S.H*I26</f>
        <v>5.6548667764616277E-2</v>
      </c>
      <c r="K26" s="38">
        <f>PI()*DIA*T.M.S.H</f>
        <v>5.6548667764616277E-2</v>
      </c>
      <c r="L26" s="39">
        <f t="shared" si="1"/>
        <v>0.16964600329384882</v>
      </c>
      <c r="M26" s="39">
        <f t="shared" si="2"/>
        <v>0.11309733552923255</v>
      </c>
      <c r="N26" s="39">
        <f t="shared" si="3"/>
        <v>5.6548667764616277E-2</v>
      </c>
    </row>
    <row r="27" spans="2:14" x14ac:dyDescent="0.25">
      <c r="B27" s="32"/>
      <c r="C27" s="325">
        <v>6</v>
      </c>
      <c r="D27" s="33"/>
      <c r="E27" s="34">
        <v>3</v>
      </c>
      <c r="F27" s="35">
        <f t="shared" si="0"/>
        <v>2</v>
      </c>
      <c r="G27" s="34">
        <v>1</v>
      </c>
      <c r="H27" s="36" t="s">
        <v>107</v>
      </c>
      <c r="I27" s="37">
        <v>1</v>
      </c>
      <c r="J27" s="38">
        <f>PI()*DIA*T.S.H*I27</f>
        <v>5.6548667764616277E-2</v>
      </c>
      <c r="K27" s="38">
        <f>PI()*DIA*T.S.H</f>
        <v>5.6548667764616277E-2</v>
      </c>
      <c r="L27" s="39">
        <f t="shared" si="1"/>
        <v>0.16964600329384882</v>
      </c>
      <c r="M27" s="39">
        <f t="shared" si="2"/>
        <v>0.11309733552923255</v>
      </c>
      <c r="N27" s="39">
        <f t="shared" si="3"/>
        <v>5.6548667764616277E-2</v>
      </c>
    </row>
    <row r="28" spans="2:14" hidden="1" x14ac:dyDescent="0.25">
      <c r="B28" s="32"/>
      <c r="C28" s="325">
        <v>6</v>
      </c>
      <c r="D28" s="33"/>
      <c r="E28" s="40">
        <v>0</v>
      </c>
      <c r="F28" s="40">
        <v>0</v>
      </c>
      <c r="G28" s="40">
        <v>0</v>
      </c>
      <c r="H28" s="41" t="s">
        <v>108</v>
      </c>
      <c r="I28" s="42">
        <v>1</v>
      </c>
      <c r="J28" s="43">
        <f>((DIA^2)/(COS(ANGLE*PI()/180)))*I28</f>
        <v>9.3174856236907466E-2</v>
      </c>
      <c r="K28" s="43">
        <f>PI()/4*((DIA^2)/(COS(ANGLE*PI()/180)))</f>
        <v>7.3179360963288406E-2</v>
      </c>
      <c r="L28" s="39">
        <f t="shared" si="1"/>
        <v>0</v>
      </c>
      <c r="M28" s="39">
        <f t="shared" si="2"/>
        <v>0</v>
      </c>
      <c r="N28" s="39">
        <f t="shared" si="3"/>
        <v>0</v>
      </c>
    </row>
    <row r="29" spans="2:14" x14ac:dyDescent="0.25">
      <c r="B29" s="32"/>
      <c r="C29" s="325">
        <v>6</v>
      </c>
      <c r="D29" s="33"/>
      <c r="E29" s="34">
        <v>3</v>
      </c>
      <c r="F29" s="35">
        <f t="shared" si="0"/>
        <v>2</v>
      </c>
      <c r="G29" s="34">
        <v>1</v>
      </c>
      <c r="H29" s="36" t="s">
        <v>109</v>
      </c>
      <c r="I29" s="37">
        <v>1</v>
      </c>
      <c r="J29" s="38">
        <f>(DIA^2)*I29</f>
        <v>0.09</v>
      </c>
      <c r="K29" s="38">
        <f>(PI()/4)*(DIA^2)</f>
        <v>7.0685834705770348E-2</v>
      </c>
      <c r="L29" s="39">
        <f>K29*E29*I29</f>
        <v>0.21205750411731106</v>
      </c>
      <c r="M29" s="39">
        <f t="shared" si="2"/>
        <v>0.1413716694115407</v>
      </c>
      <c r="N29" s="39">
        <f t="shared" si="3"/>
        <v>7.0685834705770348E-2</v>
      </c>
    </row>
    <row r="30" spans="2:14" x14ac:dyDescent="0.25">
      <c r="B30" s="32"/>
      <c r="C30" s="325">
        <v>10</v>
      </c>
      <c r="D30" s="33"/>
      <c r="E30" s="34">
        <v>3</v>
      </c>
      <c r="F30" s="35">
        <f t="shared" si="0"/>
        <v>6</v>
      </c>
      <c r="G30" s="34">
        <v>1</v>
      </c>
      <c r="H30" s="36" t="s">
        <v>110</v>
      </c>
      <c r="I30" s="37">
        <v>1</v>
      </c>
      <c r="J30" s="44">
        <f>((DIA+0.2)^2)*I30</f>
        <v>0.25</v>
      </c>
      <c r="K30" s="44">
        <f>((PI()/4)*((DIA+0.2)^2-DIA^2))</f>
        <v>0.12566370614359174</v>
      </c>
      <c r="L30" s="39">
        <f t="shared" si="1"/>
        <v>0.37699111843077521</v>
      </c>
      <c r="M30" s="39">
        <f t="shared" si="2"/>
        <v>0.75398223686155041</v>
      </c>
      <c r="N30" s="39">
        <f t="shared" si="3"/>
        <v>0.12566370614359174</v>
      </c>
    </row>
    <row r="31" spans="2:14" x14ac:dyDescent="0.25">
      <c r="B31" s="32"/>
      <c r="C31" s="325">
        <v>10</v>
      </c>
      <c r="D31" s="33"/>
      <c r="E31" s="34">
        <v>3</v>
      </c>
      <c r="F31" s="35">
        <f t="shared" si="0"/>
        <v>6</v>
      </c>
      <c r="G31" s="34">
        <v>1</v>
      </c>
      <c r="H31" s="36" t="s">
        <v>76</v>
      </c>
      <c r="I31" s="37">
        <v>1</v>
      </c>
      <c r="J31" s="44">
        <f>((DIA+0.2)^2)*I31</f>
        <v>0.25</v>
      </c>
      <c r="K31" s="44">
        <f>((PI()/4)*((DIA+0.2)^2))</f>
        <v>0.19634954084936207</v>
      </c>
      <c r="L31" s="39">
        <f>K31*E31*I31</f>
        <v>0.58904862254808621</v>
      </c>
      <c r="M31" s="39">
        <f t="shared" si="2"/>
        <v>1.1780972450961724</v>
      </c>
      <c r="N31" s="39">
        <f t="shared" si="3"/>
        <v>0.19634954084936207</v>
      </c>
    </row>
    <row r="32" spans="2:14" x14ac:dyDescent="0.25">
      <c r="B32" s="45"/>
      <c r="C32" s="325">
        <f>CEILING((C31+C23)*0.5,1)</f>
        <v>8</v>
      </c>
      <c r="D32" s="46"/>
      <c r="E32" s="46"/>
      <c r="F32" s="35">
        <f t="shared" si="0"/>
        <v>8</v>
      </c>
      <c r="G32" s="46"/>
      <c r="H32" s="36" t="s">
        <v>111</v>
      </c>
      <c r="I32" s="37">
        <v>1</v>
      </c>
      <c r="J32" s="46"/>
      <c r="K32" s="38">
        <f>PI()*DIA*(2*2*SQRT(DIA*((C32)/1000/2)))</f>
        <v>0.13059355422486368</v>
      </c>
      <c r="L32" s="46"/>
      <c r="M32" s="39">
        <f t="shared" si="2"/>
        <v>1.0447484337989095</v>
      </c>
      <c r="N32" s="46"/>
    </row>
    <row r="33" spans="2:31" x14ac:dyDescent="0.25">
      <c r="B33" s="45"/>
      <c r="C33" s="325">
        <f>CEILING((C31+C27)*0.5,1)</f>
        <v>8</v>
      </c>
      <c r="D33" s="46"/>
      <c r="E33" s="46"/>
      <c r="F33" s="35">
        <f t="shared" si="0"/>
        <v>8</v>
      </c>
      <c r="G33" s="46"/>
      <c r="H33" s="36" t="s">
        <v>112</v>
      </c>
      <c r="I33" s="37">
        <v>1</v>
      </c>
      <c r="J33" s="46"/>
      <c r="K33" s="38">
        <f>PI()*DIA*(2*2*SQRT(DIA*((C33)/1000/2)))</f>
        <v>0.13059355422486368</v>
      </c>
      <c r="L33" s="46"/>
      <c r="M33" s="39">
        <f t="shared" si="2"/>
        <v>1.0447484337989095</v>
      </c>
      <c r="N33" s="46"/>
    </row>
    <row r="34" spans="2:31" hidden="1" x14ac:dyDescent="0.25">
      <c r="B34" s="45"/>
      <c r="C34" s="40">
        <v>0</v>
      </c>
      <c r="D34" s="47"/>
      <c r="E34" s="47"/>
      <c r="F34" s="42">
        <f t="shared" si="0"/>
        <v>0</v>
      </c>
      <c r="G34" s="47"/>
      <c r="H34" s="41" t="s">
        <v>113</v>
      </c>
      <c r="I34" s="42">
        <v>1</v>
      </c>
      <c r="J34" s="47"/>
      <c r="K34" s="48">
        <f>PI()*DIA*0.45</f>
        <v>0.42411500823462206</v>
      </c>
      <c r="L34" s="47"/>
      <c r="M34" s="39">
        <f t="shared" si="2"/>
        <v>0</v>
      </c>
      <c r="N34" s="46"/>
    </row>
    <row r="35" spans="2:31" hidden="1" x14ac:dyDescent="0.25">
      <c r="B35" s="16"/>
      <c r="C35" s="325">
        <v>0</v>
      </c>
      <c r="D35" s="46"/>
      <c r="E35" s="46"/>
      <c r="F35" s="35">
        <f t="shared" si="0"/>
        <v>0</v>
      </c>
      <c r="G35" s="46"/>
      <c r="H35" s="36" t="s">
        <v>114</v>
      </c>
      <c r="I35" s="37">
        <v>0</v>
      </c>
      <c r="J35" s="46"/>
      <c r="K35" s="38">
        <f>(DIA)/(COS(ANGLE*PI()/180))*((50+75+75+75+50)/1000)</f>
        <v>0.10093942758998309</v>
      </c>
      <c r="L35" s="46"/>
      <c r="M35" s="39">
        <f t="shared" si="2"/>
        <v>0</v>
      </c>
      <c r="N35" s="46"/>
    </row>
    <row r="36" spans="2:31" hidden="1" x14ac:dyDescent="0.25">
      <c r="B36" s="16"/>
      <c r="C36" s="49">
        <v>0</v>
      </c>
      <c r="D36" s="46"/>
      <c r="E36" s="46"/>
      <c r="F36" s="50">
        <f t="shared" si="0"/>
        <v>0</v>
      </c>
      <c r="G36" s="46"/>
      <c r="H36" s="51" t="s">
        <v>115</v>
      </c>
      <c r="I36" s="50">
        <v>0</v>
      </c>
      <c r="J36" s="46"/>
      <c r="K36" s="52">
        <f>PI()*DIA*0.4</f>
        <v>0.37699111843077521</v>
      </c>
      <c r="L36" s="46"/>
      <c r="M36" s="39">
        <f t="shared" si="2"/>
        <v>0</v>
      </c>
      <c r="N36" s="46"/>
    </row>
    <row r="37" spans="2:31" x14ac:dyDescent="0.25">
      <c r="C37" s="53"/>
      <c r="P37" s="54"/>
      <c r="Q37" s="54"/>
      <c r="R37" s="54"/>
      <c r="S37" s="54"/>
      <c r="T37" s="54"/>
      <c r="U37" s="54"/>
      <c r="V37" s="439" t="s">
        <v>52</v>
      </c>
      <c r="W37" s="440"/>
      <c r="X37" s="439" t="s">
        <v>53</v>
      </c>
      <c r="Y37" s="440"/>
      <c r="Z37" s="439" t="s">
        <v>54</v>
      </c>
      <c r="AA37" s="440"/>
      <c r="AB37" s="439" t="s">
        <v>55</v>
      </c>
      <c r="AC37" s="440"/>
      <c r="AD37" s="439" t="s">
        <v>57</v>
      </c>
      <c r="AE37" s="440"/>
    </row>
    <row r="38" spans="2:31" hidden="1" x14ac:dyDescent="0.25">
      <c r="P38" s="54"/>
      <c r="Q38" s="54" t="s">
        <v>7</v>
      </c>
      <c r="R38" s="54" t="s">
        <v>6</v>
      </c>
      <c r="S38" s="54" t="s">
        <v>9</v>
      </c>
      <c r="T38" s="54" t="s">
        <v>10</v>
      </c>
      <c r="U38" s="54" t="s">
        <v>8</v>
      </c>
      <c r="V38" s="54" t="s">
        <v>4</v>
      </c>
      <c r="W38" s="54" t="s">
        <v>3</v>
      </c>
      <c r="X38" s="54" t="s">
        <v>4</v>
      </c>
      <c r="Y38" s="54" t="s">
        <v>3</v>
      </c>
      <c r="Z38" s="54" t="s">
        <v>56</v>
      </c>
      <c r="AA38" s="54" t="s">
        <v>3</v>
      </c>
      <c r="AB38" s="54" t="s">
        <v>4</v>
      </c>
      <c r="AC38" s="54" t="s">
        <v>3</v>
      </c>
      <c r="AD38" s="54" t="s">
        <v>59</v>
      </c>
      <c r="AE38" s="54" t="s">
        <v>58</v>
      </c>
    </row>
    <row r="39" spans="2:31" hidden="1" x14ac:dyDescent="0.25">
      <c r="P39" s="54" t="s">
        <v>29</v>
      </c>
      <c r="Q39" s="54" t="s">
        <v>29</v>
      </c>
      <c r="R39" s="54">
        <v>0</v>
      </c>
      <c r="S39" s="54">
        <v>0</v>
      </c>
      <c r="T39" s="54">
        <v>0</v>
      </c>
      <c r="U39" s="55">
        <f t="shared" ref="U39:U57" si="4">((PI()/4)*(T39^2-R39^2))+(PI()*R39*S39)</f>
        <v>0</v>
      </c>
      <c r="V39" s="54">
        <v>5</v>
      </c>
      <c r="W39" s="54">
        <v>12</v>
      </c>
      <c r="X39" s="54">
        <v>5</v>
      </c>
      <c r="Y39" s="54">
        <v>5</v>
      </c>
      <c r="Z39" s="55">
        <f t="shared" ref="Z39:Z57" si="5">(T39^2)*CEILING(V39/4,1)</f>
        <v>0</v>
      </c>
      <c r="AA39" s="55">
        <f t="shared" ref="AA39:AA57" si="6">((PI()/4)*(T39^2-R39^2))*W39</f>
        <v>0</v>
      </c>
      <c r="AB39" s="55">
        <f t="shared" ref="AB39:AB57" si="7">+(PI()*R39*S39)*CEILING(X39/3,1)</f>
        <v>0</v>
      </c>
      <c r="AC39" s="55">
        <f t="shared" ref="AC39:AC57" si="8">+(PI()*R39*S39)*Y39</f>
        <v>0</v>
      </c>
      <c r="AD39" s="55">
        <f t="shared" ref="AD39:AE57" si="9">+Z39+AB39</f>
        <v>0</v>
      </c>
      <c r="AE39" s="55">
        <f t="shared" si="9"/>
        <v>0</v>
      </c>
    </row>
    <row r="40" spans="2:31" x14ac:dyDescent="0.25">
      <c r="D40" s="46"/>
      <c r="E40" s="46"/>
      <c r="F40" s="46"/>
      <c r="G40" s="46"/>
      <c r="H40" s="56" t="s">
        <v>28</v>
      </c>
      <c r="I40" s="37">
        <v>0</v>
      </c>
      <c r="J40" s="38">
        <f t="shared" ref="J40:J57" si="10">LOOKUP(H40,NOZZLE1,PP_AREA)*I40</f>
        <v>0</v>
      </c>
      <c r="K40" s="39"/>
      <c r="L40" s="216">
        <v>1.19</v>
      </c>
      <c r="M40" s="179">
        <f>L40*I40</f>
        <v>0</v>
      </c>
      <c r="P40" s="54" t="s">
        <v>22</v>
      </c>
      <c r="Q40" s="54" t="s">
        <v>22</v>
      </c>
      <c r="R40" s="54">
        <v>1.4999999999999999E-2</v>
      </c>
      <c r="S40" s="54">
        <v>0.15</v>
      </c>
      <c r="T40" s="54">
        <v>8.8999999999999996E-2</v>
      </c>
      <c r="U40" s="55">
        <f t="shared" si="4"/>
        <v>1.3113007736083794E-2</v>
      </c>
      <c r="V40" s="54">
        <v>5</v>
      </c>
      <c r="W40" s="54">
        <v>12</v>
      </c>
      <c r="X40" s="54">
        <v>5</v>
      </c>
      <c r="Y40" s="54">
        <v>5</v>
      </c>
      <c r="Z40" s="55">
        <f t="shared" si="5"/>
        <v>1.5841999999999998E-2</v>
      </c>
      <c r="AA40" s="55">
        <f t="shared" si="6"/>
        <v>7.2533091186081131E-2</v>
      </c>
      <c r="AB40" s="55">
        <f t="shared" si="7"/>
        <v>1.4137166941154067E-2</v>
      </c>
      <c r="AC40" s="55">
        <f t="shared" si="8"/>
        <v>3.5342917352885167E-2</v>
      </c>
      <c r="AD40" s="55">
        <f t="shared" si="9"/>
        <v>2.9979166941154066E-2</v>
      </c>
      <c r="AE40" s="55">
        <f t="shared" si="9"/>
        <v>0.1078760085389663</v>
      </c>
    </row>
    <row r="41" spans="2:31" x14ac:dyDescent="0.25">
      <c r="D41" s="46"/>
      <c r="E41" s="46"/>
      <c r="F41" s="46"/>
      <c r="G41" s="46"/>
      <c r="H41" s="56" t="s">
        <v>24</v>
      </c>
      <c r="I41" s="37">
        <v>3</v>
      </c>
      <c r="J41" s="38">
        <f t="shared" si="10"/>
        <v>0.20987133552923254</v>
      </c>
      <c r="K41" s="39"/>
      <c r="L41" s="216">
        <v>1.39</v>
      </c>
      <c r="M41" s="179">
        <f>L41*I41</f>
        <v>4.17</v>
      </c>
      <c r="P41" s="54" t="s">
        <v>23</v>
      </c>
      <c r="Q41" s="54" t="s">
        <v>23</v>
      </c>
      <c r="R41" s="54">
        <v>0.02</v>
      </c>
      <c r="S41" s="54">
        <v>0.15</v>
      </c>
      <c r="T41" s="54">
        <v>9.8000000000000004E-2</v>
      </c>
      <c r="U41" s="55">
        <f t="shared" si="4"/>
        <v>1.6653582656679496E-2</v>
      </c>
      <c r="V41" s="54">
        <v>5</v>
      </c>
      <c r="W41" s="54">
        <v>12</v>
      </c>
      <c r="X41" s="54">
        <v>5</v>
      </c>
      <c r="Y41" s="54">
        <v>5</v>
      </c>
      <c r="Z41" s="55">
        <f t="shared" si="5"/>
        <v>1.9208000000000003E-2</v>
      </c>
      <c r="AA41" s="55">
        <f t="shared" si="6"/>
        <v>8.674565635092138E-2</v>
      </c>
      <c r="AB41" s="55">
        <f t="shared" si="7"/>
        <v>1.8849555921538759E-2</v>
      </c>
      <c r="AC41" s="55">
        <f t="shared" si="8"/>
        <v>4.7123889803846894E-2</v>
      </c>
      <c r="AD41" s="55">
        <f t="shared" si="9"/>
        <v>3.8057555921538762E-2</v>
      </c>
      <c r="AE41" s="55">
        <f t="shared" si="9"/>
        <v>0.13386954615476826</v>
      </c>
    </row>
    <row r="42" spans="2:31" x14ac:dyDescent="0.25">
      <c r="D42" s="46"/>
      <c r="E42" s="46"/>
      <c r="F42" s="46"/>
      <c r="G42" s="46"/>
      <c r="H42" s="56" t="s">
        <v>14</v>
      </c>
      <c r="I42" s="37">
        <v>0</v>
      </c>
      <c r="J42" s="38">
        <f t="shared" si="10"/>
        <v>0</v>
      </c>
      <c r="K42" s="39"/>
      <c r="L42" s="216">
        <v>3.44</v>
      </c>
      <c r="M42" s="179">
        <f t="shared" ref="M42:M44" si="11">L42*I42</f>
        <v>0</v>
      </c>
      <c r="P42" s="54" t="s">
        <v>28</v>
      </c>
      <c r="Q42" s="54" t="s">
        <v>28</v>
      </c>
      <c r="R42" s="54">
        <v>2.5000000000000001E-2</v>
      </c>
      <c r="S42" s="54">
        <v>0.15</v>
      </c>
      <c r="T42" s="54">
        <v>0.108</v>
      </c>
      <c r="U42" s="55">
        <f t="shared" si="4"/>
        <v>2.0450982776706154E-2</v>
      </c>
      <c r="V42" s="54">
        <v>5</v>
      </c>
      <c r="W42" s="54">
        <v>12</v>
      </c>
      <c r="X42" s="54">
        <v>5</v>
      </c>
      <c r="Y42" s="54">
        <v>5</v>
      </c>
      <c r="Z42" s="55">
        <f t="shared" si="5"/>
        <v>2.3327999999999998E-2</v>
      </c>
      <c r="AA42" s="55">
        <f t="shared" si="6"/>
        <v>0.10404012390893316</v>
      </c>
      <c r="AB42" s="55">
        <f t="shared" si="7"/>
        <v>2.3561944901923447E-2</v>
      </c>
      <c r="AC42" s="55">
        <f t="shared" si="8"/>
        <v>5.8904862254808621E-2</v>
      </c>
      <c r="AD42" s="55">
        <f t="shared" si="9"/>
        <v>4.6889944901923442E-2</v>
      </c>
      <c r="AE42" s="55">
        <f t="shared" si="9"/>
        <v>0.16294498616374178</v>
      </c>
    </row>
    <row r="43" spans="2:31" hidden="1" x14ac:dyDescent="0.25">
      <c r="D43" s="46"/>
      <c r="E43" s="46"/>
      <c r="F43" s="46"/>
      <c r="G43" s="46"/>
      <c r="H43" s="56" t="s">
        <v>30</v>
      </c>
      <c r="I43" s="37">
        <v>0</v>
      </c>
      <c r="J43" s="38">
        <f t="shared" si="10"/>
        <v>0</v>
      </c>
      <c r="K43" s="39"/>
      <c r="L43" s="57">
        <v>1.55</v>
      </c>
      <c r="M43" s="325">
        <f t="shared" si="11"/>
        <v>0</v>
      </c>
      <c r="P43" s="54" t="s">
        <v>24</v>
      </c>
      <c r="Q43" s="54" t="s">
        <v>24</v>
      </c>
      <c r="R43" s="54">
        <v>0.04</v>
      </c>
      <c r="S43" s="54">
        <v>0.15</v>
      </c>
      <c r="T43" s="54">
        <v>0.127</v>
      </c>
      <c r="U43" s="55">
        <f t="shared" si="4"/>
        <v>3.0260605837540283E-2</v>
      </c>
      <c r="V43" s="54">
        <v>5</v>
      </c>
      <c r="W43" s="54">
        <v>15</v>
      </c>
      <c r="X43" s="54">
        <v>5</v>
      </c>
      <c r="Y43" s="54">
        <v>6</v>
      </c>
      <c r="Z43" s="55">
        <f t="shared" si="5"/>
        <v>3.2258000000000002E-2</v>
      </c>
      <c r="AA43" s="55">
        <f t="shared" si="6"/>
        <v>0.17116574874002288</v>
      </c>
      <c r="AB43" s="55">
        <f t="shared" si="7"/>
        <v>3.7699111843077518E-2</v>
      </c>
      <c r="AC43" s="55">
        <f t="shared" si="8"/>
        <v>0.11309733552923255</v>
      </c>
      <c r="AD43" s="55">
        <f t="shared" si="9"/>
        <v>6.9957111843077513E-2</v>
      </c>
      <c r="AE43" s="55">
        <f t="shared" si="9"/>
        <v>0.28426308426925545</v>
      </c>
    </row>
    <row r="44" spans="2:31" ht="18.75" hidden="1" customHeight="1" x14ac:dyDescent="0.25">
      <c r="D44" s="46"/>
      <c r="E44" s="46"/>
      <c r="F44" s="46"/>
      <c r="G44" s="46"/>
      <c r="H44" s="56" t="s">
        <v>19</v>
      </c>
      <c r="I44" s="37">
        <v>0</v>
      </c>
      <c r="J44" s="38">
        <f t="shared" si="10"/>
        <v>0</v>
      </c>
      <c r="K44" s="39"/>
      <c r="L44" s="57">
        <v>7.34</v>
      </c>
      <c r="M44" s="325">
        <f t="shared" si="11"/>
        <v>0</v>
      </c>
      <c r="P44" s="54" t="s">
        <v>25</v>
      </c>
      <c r="Q44" s="54" t="s">
        <v>25</v>
      </c>
      <c r="R44" s="54">
        <v>0.05</v>
      </c>
      <c r="S44" s="54">
        <v>0.15</v>
      </c>
      <c r="T44" s="54">
        <v>0.152</v>
      </c>
      <c r="U44" s="55">
        <f t="shared" si="4"/>
        <v>3.9744288660564467E-2</v>
      </c>
      <c r="V44" s="54">
        <v>5</v>
      </c>
      <c r="W44" s="54">
        <v>15</v>
      </c>
      <c r="X44" s="54">
        <v>5</v>
      </c>
      <c r="Y44" s="54">
        <v>6</v>
      </c>
      <c r="Z44" s="55">
        <f t="shared" si="5"/>
        <v>4.6207999999999999E-2</v>
      </c>
      <c r="AA44" s="55">
        <f t="shared" si="6"/>
        <v>0.24273515637961535</v>
      </c>
      <c r="AB44" s="55">
        <f t="shared" si="7"/>
        <v>4.7123889803846894E-2</v>
      </c>
      <c r="AC44" s="55">
        <f t="shared" si="8"/>
        <v>0.14137166941154067</v>
      </c>
      <c r="AD44" s="55">
        <f t="shared" si="9"/>
        <v>9.3331889803846893E-2</v>
      </c>
      <c r="AE44" s="55">
        <f t="shared" si="9"/>
        <v>0.38410682579115601</v>
      </c>
    </row>
    <row r="45" spans="2:31" hidden="1" x14ac:dyDescent="0.25">
      <c r="D45" s="46"/>
      <c r="E45" s="46"/>
      <c r="F45" s="46"/>
      <c r="G45" s="46"/>
      <c r="H45" s="56" t="s">
        <v>20</v>
      </c>
      <c r="I45" s="37">
        <v>0</v>
      </c>
      <c r="J45" s="38">
        <f t="shared" si="10"/>
        <v>0</v>
      </c>
      <c r="K45" s="39"/>
      <c r="L45" s="58"/>
      <c r="M45" s="325" t="s">
        <v>116</v>
      </c>
      <c r="P45" s="54" t="s">
        <v>26</v>
      </c>
      <c r="Q45" s="54" t="s">
        <v>26</v>
      </c>
      <c r="R45" s="54">
        <v>6.5000000000000002E-2</v>
      </c>
      <c r="S45" s="54">
        <v>0.15</v>
      </c>
      <c r="T45" s="54">
        <v>0.17799999999999999</v>
      </c>
      <c r="U45" s="55">
        <f t="shared" si="4"/>
        <v>5.2196776541231012E-2</v>
      </c>
      <c r="V45" s="54">
        <v>5</v>
      </c>
      <c r="W45" s="54">
        <v>18</v>
      </c>
      <c r="X45" s="54">
        <v>5</v>
      </c>
      <c r="Y45" s="54">
        <v>6</v>
      </c>
      <c r="Z45" s="55">
        <f t="shared" si="5"/>
        <v>6.3367999999999994E-2</v>
      </c>
      <c r="AA45" s="55">
        <f t="shared" si="6"/>
        <v>0.38819246703714955</v>
      </c>
      <c r="AB45" s="55">
        <f t="shared" si="7"/>
        <v>6.1261056745000965E-2</v>
      </c>
      <c r="AC45" s="55">
        <f t="shared" si="8"/>
        <v>0.1837831702350029</v>
      </c>
      <c r="AD45" s="55">
        <f t="shared" si="9"/>
        <v>0.12462905674500097</v>
      </c>
      <c r="AE45" s="55">
        <f t="shared" si="9"/>
        <v>0.5719756372721525</v>
      </c>
    </row>
    <row r="46" spans="2:31" hidden="1" x14ac:dyDescent="0.25">
      <c r="D46" s="46"/>
      <c r="E46" s="46"/>
      <c r="F46" s="46"/>
      <c r="G46" s="46"/>
      <c r="H46" s="56" t="s">
        <v>21</v>
      </c>
      <c r="I46" s="37">
        <v>0</v>
      </c>
      <c r="J46" s="38">
        <f t="shared" si="10"/>
        <v>0</v>
      </c>
      <c r="K46" s="39"/>
      <c r="L46" s="58"/>
      <c r="P46" s="54" t="s">
        <v>27</v>
      </c>
      <c r="Q46" s="54" t="s">
        <v>27</v>
      </c>
      <c r="R46" s="54">
        <v>0.08</v>
      </c>
      <c r="S46" s="54">
        <v>0.15</v>
      </c>
      <c r="T46" s="54">
        <v>0.191</v>
      </c>
      <c r="U46" s="55">
        <f t="shared" si="4"/>
        <v>6.1324673996236159E-2</v>
      </c>
      <c r="V46" s="54">
        <v>5</v>
      </c>
      <c r="W46" s="54">
        <v>18</v>
      </c>
      <c r="X46" s="54">
        <v>5</v>
      </c>
      <c r="Y46" s="54">
        <v>7</v>
      </c>
      <c r="Z46" s="55">
        <f t="shared" si="5"/>
        <v>7.2961999999999999E-2</v>
      </c>
      <c r="AA46" s="55">
        <f t="shared" si="6"/>
        <v>0.42526011875685554</v>
      </c>
      <c r="AB46" s="55">
        <f t="shared" si="7"/>
        <v>7.5398223686155036E-2</v>
      </c>
      <c r="AC46" s="55">
        <f t="shared" si="8"/>
        <v>0.26389378290154264</v>
      </c>
      <c r="AD46" s="55">
        <f t="shared" si="9"/>
        <v>0.14836022368615503</v>
      </c>
      <c r="AE46" s="55">
        <f t="shared" si="9"/>
        <v>0.68915390165839818</v>
      </c>
    </row>
    <row r="47" spans="2:31" hidden="1" x14ac:dyDescent="0.25">
      <c r="D47" s="46"/>
      <c r="E47" s="46"/>
      <c r="F47" s="46"/>
      <c r="G47" s="46"/>
      <c r="H47" s="56" t="s">
        <v>21</v>
      </c>
      <c r="I47" s="37">
        <v>0</v>
      </c>
      <c r="J47" s="38">
        <f t="shared" si="10"/>
        <v>0</v>
      </c>
      <c r="K47" s="39"/>
      <c r="L47" s="58"/>
      <c r="P47" s="54" t="s">
        <v>30</v>
      </c>
      <c r="Q47" s="54" t="s">
        <v>30</v>
      </c>
      <c r="R47" s="54">
        <v>0.1</v>
      </c>
      <c r="S47" s="54">
        <v>0.15</v>
      </c>
      <c r="T47" s="54">
        <v>0.22900000000000001</v>
      </c>
      <c r="U47" s="55">
        <f t="shared" si="4"/>
        <v>8.0456973256597994E-2</v>
      </c>
      <c r="V47" s="54">
        <v>5</v>
      </c>
      <c r="W47" s="54">
        <v>20</v>
      </c>
      <c r="X47" s="54">
        <v>5</v>
      </c>
      <c r="Y47" s="54">
        <v>7</v>
      </c>
      <c r="Z47" s="55">
        <f t="shared" si="5"/>
        <v>0.104882</v>
      </c>
      <c r="AA47" s="55">
        <f t="shared" si="6"/>
        <v>0.666661669055022</v>
      </c>
      <c r="AB47" s="55">
        <f t="shared" si="7"/>
        <v>9.4247779607693788E-2</v>
      </c>
      <c r="AC47" s="55">
        <f t="shared" si="8"/>
        <v>0.32986722862692824</v>
      </c>
      <c r="AD47" s="55">
        <f t="shared" si="9"/>
        <v>0.19912977960769379</v>
      </c>
      <c r="AE47" s="55">
        <f t="shared" si="9"/>
        <v>0.99652889768195019</v>
      </c>
    </row>
    <row r="48" spans="2:31" hidden="1" x14ac:dyDescent="0.25">
      <c r="D48" s="46"/>
      <c r="E48" s="46"/>
      <c r="F48" s="46"/>
      <c r="G48" s="46"/>
      <c r="H48" s="56" t="s">
        <v>18</v>
      </c>
      <c r="I48" s="37">
        <v>0</v>
      </c>
      <c r="J48" s="38">
        <f t="shared" si="10"/>
        <v>0</v>
      </c>
      <c r="K48" s="39"/>
      <c r="L48" s="58"/>
      <c r="P48" s="54" t="s">
        <v>12</v>
      </c>
      <c r="Q48" s="54" t="s">
        <v>12</v>
      </c>
      <c r="R48" s="54">
        <v>0.125</v>
      </c>
      <c r="S48" s="54">
        <v>0.15</v>
      </c>
      <c r="T48" s="54">
        <v>0.254</v>
      </c>
      <c r="U48" s="55">
        <f t="shared" si="4"/>
        <v>9.7303763861473269E-2</v>
      </c>
      <c r="V48" s="54">
        <v>5</v>
      </c>
      <c r="W48" s="54">
        <v>20</v>
      </c>
      <c r="X48" s="54">
        <v>5</v>
      </c>
      <c r="Y48" s="54">
        <v>7</v>
      </c>
      <c r="Z48" s="55">
        <f t="shared" si="5"/>
        <v>0.12903200000000001</v>
      </c>
      <c r="AA48" s="55">
        <f t="shared" si="6"/>
        <v>0.76797803213329296</v>
      </c>
      <c r="AB48" s="55">
        <f t="shared" si="7"/>
        <v>0.11780972450961724</v>
      </c>
      <c r="AC48" s="55">
        <f t="shared" si="8"/>
        <v>0.41233403578366035</v>
      </c>
      <c r="AD48" s="55">
        <f t="shared" si="9"/>
        <v>0.24684172450961725</v>
      </c>
      <c r="AE48" s="55">
        <f t="shared" si="9"/>
        <v>1.1803120679169532</v>
      </c>
    </row>
    <row r="49" spans="4:31" hidden="1" x14ac:dyDescent="0.25">
      <c r="D49" s="46"/>
      <c r="E49" s="46"/>
      <c r="F49" s="46"/>
      <c r="G49" s="46"/>
      <c r="H49" s="56" t="s">
        <v>21</v>
      </c>
      <c r="I49" s="37">
        <v>0</v>
      </c>
      <c r="J49" s="38">
        <f t="shared" si="10"/>
        <v>0</v>
      </c>
      <c r="K49" s="39"/>
      <c r="L49" s="58"/>
      <c r="P49" s="54" t="s">
        <v>13</v>
      </c>
      <c r="Q49" s="54" t="s">
        <v>13</v>
      </c>
      <c r="R49" s="54">
        <v>0.15</v>
      </c>
      <c r="S49" s="54">
        <v>0.15</v>
      </c>
      <c r="T49" s="54">
        <v>0.27900000000000003</v>
      </c>
      <c r="U49" s="55">
        <f t="shared" si="4"/>
        <v>0.11415055446634856</v>
      </c>
      <c r="V49" s="54">
        <v>5</v>
      </c>
      <c r="W49" s="54">
        <v>20</v>
      </c>
      <c r="X49" s="54">
        <v>5</v>
      </c>
      <c r="Y49" s="54">
        <v>8</v>
      </c>
      <c r="Z49" s="55">
        <f t="shared" si="5"/>
        <v>0.15568200000000004</v>
      </c>
      <c r="AA49" s="55">
        <f t="shared" si="6"/>
        <v>0.86929439521156404</v>
      </c>
      <c r="AB49" s="55">
        <f t="shared" si="7"/>
        <v>0.1413716694115407</v>
      </c>
      <c r="AC49" s="55">
        <f t="shared" si="8"/>
        <v>0.56548667764616278</v>
      </c>
      <c r="AD49" s="55">
        <f t="shared" si="9"/>
        <v>0.29705366941154077</v>
      </c>
      <c r="AE49" s="55">
        <f t="shared" si="9"/>
        <v>1.4347810728577268</v>
      </c>
    </row>
    <row r="50" spans="4:31" hidden="1" x14ac:dyDescent="0.25">
      <c r="D50" s="46"/>
      <c r="E50" s="46"/>
      <c r="F50" s="46"/>
      <c r="G50" s="46"/>
      <c r="H50" s="56" t="s">
        <v>21</v>
      </c>
      <c r="I50" s="37">
        <v>0</v>
      </c>
      <c r="J50" s="38">
        <f t="shared" si="10"/>
        <v>0</v>
      </c>
      <c r="K50" s="39"/>
      <c r="L50" s="58"/>
      <c r="P50" s="54" t="s">
        <v>14</v>
      </c>
      <c r="Q50" s="54" t="s">
        <v>14</v>
      </c>
      <c r="R50" s="54">
        <v>0.2</v>
      </c>
      <c r="S50" s="54">
        <v>0.15</v>
      </c>
      <c r="T50" s="54">
        <v>0.33</v>
      </c>
      <c r="U50" s="55">
        <f t="shared" si="4"/>
        <v>0.14836171306577797</v>
      </c>
      <c r="V50" s="54">
        <v>5</v>
      </c>
      <c r="W50" s="54">
        <v>22</v>
      </c>
      <c r="X50" s="54">
        <v>5</v>
      </c>
      <c r="Y50" s="54">
        <v>8</v>
      </c>
      <c r="Z50" s="55">
        <f t="shared" si="5"/>
        <v>0.21780000000000002</v>
      </c>
      <c r="AA50" s="55">
        <f t="shared" si="6"/>
        <v>1.1905065360778522</v>
      </c>
      <c r="AB50" s="55">
        <f t="shared" si="7"/>
        <v>0.18849555921538758</v>
      </c>
      <c r="AC50" s="55">
        <f t="shared" si="8"/>
        <v>0.7539822368615503</v>
      </c>
      <c r="AD50" s="55">
        <f t="shared" si="9"/>
        <v>0.40629555921538762</v>
      </c>
      <c r="AE50" s="55">
        <f t="shared" si="9"/>
        <v>1.9444887729394025</v>
      </c>
    </row>
    <row r="51" spans="4:31" hidden="1" x14ac:dyDescent="0.25">
      <c r="D51" s="46"/>
      <c r="E51" s="46"/>
      <c r="F51" s="46"/>
      <c r="G51" s="46"/>
      <c r="H51" s="56" t="s">
        <v>15</v>
      </c>
      <c r="I51" s="37">
        <v>0</v>
      </c>
      <c r="J51" s="38">
        <f t="shared" si="10"/>
        <v>0</v>
      </c>
      <c r="K51" s="39"/>
      <c r="L51" s="58"/>
      <c r="P51" s="54" t="s">
        <v>15</v>
      </c>
      <c r="Q51" s="54" t="s">
        <v>15</v>
      </c>
      <c r="R51" s="54">
        <v>0.25</v>
      </c>
      <c r="S51" s="54">
        <v>0.15</v>
      </c>
      <c r="T51" s="54">
        <v>0.38</v>
      </c>
      <c r="U51" s="55">
        <f t="shared" si="4"/>
        <v>0.18213383409186826</v>
      </c>
      <c r="V51" s="54">
        <v>5</v>
      </c>
      <c r="W51" s="54">
        <v>22</v>
      </c>
      <c r="X51" s="54">
        <v>5</v>
      </c>
      <c r="Y51" s="54">
        <v>8</v>
      </c>
      <c r="Z51" s="55">
        <f t="shared" si="5"/>
        <v>0.2888</v>
      </c>
      <c r="AA51" s="55">
        <f t="shared" si="6"/>
        <v>1.4151304108095224</v>
      </c>
      <c r="AB51" s="55">
        <f t="shared" si="7"/>
        <v>0.23561944901923448</v>
      </c>
      <c r="AC51" s="55">
        <f t="shared" si="8"/>
        <v>0.94247779607693793</v>
      </c>
      <c r="AD51" s="55">
        <f t="shared" si="9"/>
        <v>0.52441944901923443</v>
      </c>
      <c r="AE51" s="55">
        <f t="shared" si="9"/>
        <v>2.3576082068864603</v>
      </c>
    </row>
    <row r="52" spans="4:31" hidden="1" x14ac:dyDescent="0.25">
      <c r="D52" s="46"/>
      <c r="E52" s="46"/>
      <c r="F52" s="46"/>
      <c r="G52" s="46"/>
      <c r="H52" s="56" t="s">
        <v>16</v>
      </c>
      <c r="I52" s="37">
        <v>0</v>
      </c>
      <c r="J52" s="38">
        <f t="shared" si="10"/>
        <v>0</v>
      </c>
      <c r="K52" s="39"/>
      <c r="L52" s="58"/>
      <c r="P52" s="54" t="s">
        <v>16</v>
      </c>
      <c r="Q52" s="54" t="s">
        <v>16</v>
      </c>
      <c r="R52" s="54">
        <v>0.3</v>
      </c>
      <c r="S52" s="54">
        <v>0.15</v>
      </c>
      <c r="T52" s="54">
        <v>0.43</v>
      </c>
      <c r="U52" s="55">
        <f t="shared" si="4"/>
        <v>0.21590595511795851</v>
      </c>
      <c r="V52" s="54">
        <v>5</v>
      </c>
      <c r="W52" s="54">
        <v>25</v>
      </c>
      <c r="X52" s="54">
        <v>5</v>
      </c>
      <c r="Y52" s="54">
        <v>8</v>
      </c>
      <c r="Z52" s="55">
        <f t="shared" si="5"/>
        <v>0.36979999999999996</v>
      </c>
      <c r="AA52" s="55">
        <f t="shared" si="6"/>
        <v>1.8633571426604458</v>
      </c>
      <c r="AB52" s="55">
        <f t="shared" si="7"/>
        <v>0.28274333882308139</v>
      </c>
      <c r="AC52" s="55">
        <f t="shared" si="8"/>
        <v>1.1309733552923256</v>
      </c>
      <c r="AD52" s="55">
        <f t="shared" si="9"/>
        <v>0.65254333882308135</v>
      </c>
      <c r="AE52" s="55">
        <f t="shared" si="9"/>
        <v>2.9943304979527712</v>
      </c>
    </row>
    <row r="53" spans="4:31" hidden="1" x14ac:dyDescent="0.25">
      <c r="D53" s="46"/>
      <c r="E53" s="46"/>
      <c r="F53" s="46"/>
      <c r="G53" s="46"/>
      <c r="H53" s="56" t="s">
        <v>17</v>
      </c>
      <c r="I53" s="37">
        <v>0</v>
      </c>
      <c r="J53" s="38">
        <f t="shared" si="10"/>
        <v>0</v>
      </c>
      <c r="K53" s="39"/>
      <c r="L53" s="58"/>
      <c r="P53" s="54" t="s">
        <v>17</v>
      </c>
      <c r="Q53" s="54" t="s">
        <v>17</v>
      </c>
      <c r="R53" s="54">
        <v>0.35</v>
      </c>
      <c r="S53" s="54">
        <v>0.15</v>
      </c>
      <c r="T53" s="54">
        <v>0.48</v>
      </c>
      <c r="U53" s="55">
        <f t="shared" si="4"/>
        <v>0.2496780761440488</v>
      </c>
      <c r="V53" s="54">
        <v>5</v>
      </c>
      <c r="W53" s="54">
        <v>25</v>
      </c>
      <c r="X53" s="54">
        <v>5</v>
      </c>
      <c r="Y53" s="54">
        <v>9</v>
      </c>
      <c r="Z53" s="55">
        <f t="shared" si="5"/>
        <v>0.46079999999999999</v>
      </c>
      <c r="AA53" s="55">
        <f t="shared" si="6"/>
        <v>2.1186115457646171</v>
      </c>
      <c r="AB53" s="55">
        <f t="shared" si="7"/>
        <v>0.32986722862692824</v>
      </c>
      <c r="AC53" s="55">
        <f t="shared" si="8"/>
        <v>1.4844025288211771</v>
      </c>
      <c r="AD53" s="55">
        <f t="shared" si="9"/>
        <v>0.79066722862692829</v>
      </c>
      <c r="AE53" s="55">
        <f t="shared" si="9"/>
        <v>3.6030140745857944</v>
      </c>
    </row>
    <row r="54" spans="4:31" hidden="1" x14ac:dyDescent="0.25">
      <c r="D54" s="46"/>
      <c r="E54" s="46"/>
      <c r="F54" s="46"/>
      <c r="G54" s="46"/>
      <c r="H54" s="56" t="s">
        <v>18</v>
      </c>
      <c r="I54" s="37">
        <v>0</v>
      </c>
      <c r="J54" s="38">
        <f t="shared" si="10"/>
        <v>0</v>
      </c>
      <c r="K54" s="39"/>
      <c r="L54" s="58"/>
      <c r="P54" s="54" t="s">
        <v>18</v>
      </c>
      <c r="Q54" s="54" t="s">
        <v>18</v>
      </c>
      <c r="R54" s="54">
        <v>0.4</v>
      </c>
      <c r="S54" s="54">
        <v>0.15</v>
      </c>
      <c r="T54" s="54">
        <v>0.53</v>
      </c>
      <c r="U54" s="55">
        <f t="shared" si="4"/>
        <v>0.28345019717013908</v>
      </c>
      <c r="V54" s="54">
        <v>5</v>
      </c>
      <c r="W54" s="54">
        <v>25</v>
      </c>
      <c r="X54" s="54">
        <v>5</v>
      </c>
      <c r="Y54" s="54">
        <v>9</v>
      </c>
      <c r="Z54" s="55">
        <f t="shared" si="5"/>
        <v>0.56180000000000008</v>
      </c>
      <c r="AA54" s="55">
        <f t="shared" si="6"/>
        <v>2.3738659488687879</v>
      </c>
      <c r="AB54" s="55">
        <f t="shared" si="7"/>
        <v>0.37699111843077515</v>
      </c>
      <c r="AC54" s="55">
        <f t="shared" si="8"/>
        <v>1.6964600329384882</v>
      </c>
      <c r="AD54" s="55">
        <f t="shared" si="9"/>
        <v>0.93879111843077523</v>
      </c>
      <c r="AE54" s="55">
        <f t="shared" si="9"/>
        <v>4.0703259818072759</v>
      </c>
    </row>
    <row r="55" spans="4:31" hidden="1" x14ac:dyDescent="0.25">
      <c r="D55" s="46"/>
      <c r="E55" s="46"/>
      <c r="F55" s="46"/>
      <c r="G55" s="46"/>
      <c r="H55" s="56" t="s">
        <v>19</v>
      </c>
      <c r="I55" s="37">
        <v>0</v>
      </c>
      <c r="J55" s="38">
        <f t="shared" si="10"/>
        <v>0</v>
      </c>
      <c r="K55" s="39"/>
      <c r="L55" s="58"/>
      <c r="P55" s="54" t="s">
        <v>19</v>
      </c>
      <c r="Q55" s="54" t="s">
        <v>19</v>
      </c>
      <c r="R55" s="54">
        <v>0.45</v>
      </c>
      <c r="S55" s="54">
        <v>0.15</v>
      </c>
      <c r="T55" s="54">
        <v>0.57999999999999996</v>
      </c>
      <c r="U55" s="55">
        <f t="shared" si="4"/>
        <v>0.31722231819622931</v>
      </c>
      <c r="V55" s="54">
        <v>5</v>
      </c>
      <c r="W55" s="54">
        <v>25</v>
      </c>
      <c r="X55" s="54">
        <v>5</v>
      </c>
      <c r="Y55" s="54">
        <v>9</v>
      </c>
      <c r="Z55" s="55">
        <f t="shared" si="5"/>
        <v>0.67279999999999995</v>
      </c>
      <c r="AA55" s="55">
        <f t="shared" si="6"/>
        <v>2.6291203519729573</v>
      </c>
      <c r="AB55" s="55">
        <f t="shared" si="7"/>
        <v>0.42411500823462206</v>
      </c>
      <c r="AC55" s="55">
        <f t="shared" si="8"/>
        <v>1.9085175370557992</v>
      </c>
      <c r="AD55" s="55">
        <f t="shared" si="9"/>
        <v>1.096915008234622</v>
      </c>
      <c r="AE55" s="55">
        <f t="shared" si="9"/>
        <v>4.5376378890287565</v>
      </c>
    </row>
    <row r="56" spans="4:31" hidden="1" x14ac:dyDescent="0.25">
      <c r="D56" s="46"/>
      <c r="E56" s="46"/>
      <c r="F56" s="46"/>
      <c r="G56" s="46"/>
      <c r="H56" s="56" t="s">
        <v>20</v>
      </c>
      <c r="I56" s="37">
        <v>0</v>
      </c>
      <c r="J56" s="38">
        <f t="shared" si="10"/>
        <v>0</v>
      </c>
      <c r="K56" s="39"/>
      <c r="L56" s="58"/>
      <c r="P56" s="54" t="s">
        <v>20</v>
      </c>
      <c r="Q56" s="54" t="s">
        <v>20</v>
      </c>
      <c r="R56" s="54">
        <v>0.5</v>
      </c>
      <c r="S56" s="54">
        <v>0.15</v>
      </c>
      <c r="T56" s="54">
        <v>0.63</v>
      </c>
      <c r="U56" s="55">
        <f t="shared" si="4"/>
        <v>0.35099443922231965</v>
      </c>
      <c r="V56" s="54">
        <v>5</v>
      </c>
      <c r="W56" s="54">
        <v>28</v>
      </c>
      <c r="X56" s="54">
        <v>5</v>
      </c>
      <c r="Y56" s="54">
        <v>10</v>
      </c>
      <c r="Z56" s="55">
        <f t="shared" si="5"/>
        <v>0.79380000000000006</v>
      </c>
      <c r="AA56" s="55">
        <f t="shared" si="6"/>
        <v>3.2304997256863848</v>
      </c>
      <c r="AB56" s="55">
        <f t="shared" si="7"/>
        <v>0.47123889803846897</v>
      </c>
      <c r="AC56" s="55">
        <f t="shared" si="8"/>
        <v>2.3561944901923448</v>
      </c>
      <c r="AD56" s="55">
        <f t="shared" si="9"/>
        <v>1.265038898038469</v>
      </c>
      <c r="AE56" s="55">
        <f t="shared" si="9"/>
        <v>5.5866942158787296</v>
      </c>
    </row>
    <row r="57" spans="4:31" hidden="1" x14ac:dyDescent="0.25">
      <c r="D57" s="46"/>
      <c r="E57" s="46"/>
      <c r="F57" s="46"/>
      <c r="G57" s="46"/>
      <c r="H57" s="56" t="s">
        <v>21</v>
      </c>
      <c r="I57" s="37">
        <v>0</v>
      </c>
      <c r="J57" s="38">
        <f t="shared" si="10"/>
        <v>0</v>
      </c>
      <c r="K57" s="39"/>
      <c r="L57" s="58"/>
      <c r="P57" s="54" t="s">
        <v>21</v>
      </c>
      <c r="Q57" s="54" t="s">
        <v>21</v>
      </c>
      <c r="R57" s="54">
        <v>0.6</v>
      </c>
      <c r="S57" s="54">
        <v>0.15</v>
      </c>
      <c r="T57" s="54">
        <v>0.73</v>
      </c>
      <c r="U57" s="55">
        <f t="shared" si="4"/>
        <v>0.41853868127450011</v>
      </c>
      <c r="V57" s="54">
        <v>5</v>
      </c>
      <c r="W57" s="54">
        <v>30</v>
      </c>
      <c r="X57" s="54">
        <v>5</v>
      </c>
      <c r="Y57" s="54">
        <v>11</v>
      </c>
      <c r="Z57" s="55">
        <f t="shared" si="5"/>
        <v>1.0657999999999999</v>
      </c>
      <c r="AA57" s="55">
        <f t="shared" si="6"/>
        <v>4.0738602735425626</v>
      </c>
      <c r="AB57" s="55">
        <f t="shared" si="7"/>
        <v>0.56548667764616278</v>
      </c>
      <c r="AC57" s="55">
        <f t="shared" si="8"/>
        <v>3.1101767270538954</v>
      </c>
      <c r="AD57" s="55">
        <f t="shared" si="9"/>
        <v>1.6312866776461625</v>
      </c>
      <c r="AE57" s="55">
        <f t="shared" si="9"/>
        <v>7.184037000596458</v>
      </c>
    </row>
    <row r="58" spans="4:31" hidden="1" x14ac:dyDescent="0.25">
      <c r="L58" s="59"/>
      <c r="P58" s="322"/>
      <c r="Q58" s="322"/>
      <c r="R58" s="322"/>
      <c r="S58" s="322"/>
      <c r="T58" s="322"/>
      <c r="U58" s="322"/>
      <c r="V58" s="441" t="s">
        <v>31</v>
      </c>
      <c r="W58" s="441"/>
    </row>
    <row r="59" spans="4:31" hidden="1" x14ac:dyDescent="0.25">
      <c r="L59" s="59"/>
      <c r="P59" s="322"/>
      <c r="Q59" s="322" t="s">
        <v>51</v>
      </c>
      <c r="R59" s="322" t="s">
        <v>6</v>
      </c>
      <c r="S59" s="322" t="s">
        <v>9</v>
      </c>
      <c r="T59" s="322" t="s">
        <v>10</v>
      </c>
      <c r="U59" s="322" t="s">
        <v>8</v>
      </c>
      <c r="V59" s="322" t="s">
        <v>4</v>
      </c>
      <c r="W59" s="322" t="s">
        <v>3</v>
      </c>
    </row>
    <row r="60" spans="4:31" x14ac:dyDescent="0.25">
      <c r="L60" s="59"/>
      <c r="P60" s="322" t="s">
        <v>32</v>
      </c>
      <c r="Q60" s="322" t="s">
        <v>32</v>
      </c>
      <c r="R60" s="60">
        <v>0</v>
      </c>
      <c r="S60" s="60">
        <v>0</v>
      </c>
      <c r="T60" s="322">
        <v>0</v>
      </c>
      <c r="U60" s="61">
        <f t="shared" ref="U60:U78" si="12">((PI()/4)*(T60^2))</f>
        <v>0</v>
      </c>
      <c r="V60" s="322">
        <v>5</v>
      </c>
      <c r="W60" s="54">
        <v>12</v>
      </c>
    </row>
    <row r="61" spans="4:31" x14ac:dyDescent="0.25">
      <c r="D61" s="62"/>
      <c r="E61" s="62">
        <f t="shared" ref="E61:E78" si="13">LOOKUP(H61,B.FLG,B.FLG.FRP)</f>
        <v>15</v>
      </c>
      <c r="F61" s="46"/>
      <c r="G61" s="46"/>
      <c r="H61" s="63" t="s">
        <v>36</v>
      </c>
      <c r="I61" s="37">
        <v>0</v>
      </c>
      <c r="J61" s="38">
        <f t="shared" ref="J61:J78" si="14">LOOKUP(H61,B.FLG,B.FLG.AREA)*(CEILING(D61/3,1))*I61</f>
        <v>0</v>
      </c>
      <c r="K61" s="39">
        <f>LOOKUP(H61,B.FLG,B.FLG.AREA)</f>
        <v>1.2667686977437444E-2</v>
      </c>
      <c r="L61" s="216">
        <v>0.22</v>
      </c>
      <c r="M61" s="179">
        <f>L61*I61</f>
        <v>0</v>
      </c>
      <c r="P61" s="322" t="s">
        <v>33</v>
      </c>
      <c r="Q61" s="322" t="s">
        <v>33</v>
      </c>
      <c r="R61" s="60">
        <v>1.4999999999999999E-2</v>
      </c>
      <c r="S61" s="60">
        <v>0.15</v>
      </c>
      <c r="T61" s="60">
        <v>8.8999999999999996E-2</v>
      </c>
      <c r="U61" s="61">
        <f t="shared" si="12"/>
        <v>6.221138852271187E-3</v>
      </c>
      <c r="V61" s="322">
        <v>5</v>
      </c>
      <c r="W61" s="54">
        <v>12</v>
      </c>
    </row>
    <row r="62" spans="4:31" x14ac:dyDescent="0.25">
      <c r="D62" s="62"/>
      <c r="E62" s="62">
        <f t="shared" si="13"/>
        <v>20</v>
      </c>
      <c r="F62" s="46"/>
      <c r="G62" s="46"/>
      <c r="H62" s="63" t="s">
        <v>43</v>
      </c>
      <c r="I62" s="37">
        <v>0</v>
      </c>
      <c r="J62" s="38">
        <f t="shared" si="14"/>
        <v>0</v>
      </c>
      <c r="K62" s="39">
        <f>LOOKUP(H62,B.FLG,B.FLG.AREA)</f>
        <v>8.5529859993982132E-2</v>
      </c>
      <c r="L62" s="216">
        <v>1.63</v>
      </c>
      <c r="M62" s="179">
        <f>L62*I62</f>
        <v>0</v>
      </c>
      <c r="P62" s="322" t="s">
        <v>34</v>
      </c>
      <c r="Q62" s="322" t="s">
        <v>34</v>
      </c>
      <c r="R62" s="60">
        <v>0.02</v>
      </c>
      <c r="S62" s="60">
        <v>0.15</v>
      </c>
      <c r="T62" s="60">
        <v>9.8000000000000004E-2</v>
      </c>
      <c r="U62" s="61">
        <f t="shared" si="12"/>
        <v>7.5429639612690945E-3</v>
      </c>
      <c r="V62" s="322">
        <v>5</v>
      </c>
      <c r="W62" s="54">
        <v>12</v>
      </c>
    </row>
    <row r="63" spans="4:31" hidden="1" x14ac:dyDescent="0.25">
      <c r="D63" s="62"/>
      <c r="E63" s="62">
        <f t="shared" si="13"/>
        <v>18</v>
      </c>
      <c r="F63" s="46"/>
      <c r="G63" s="46"/>
      <c r="H63" s="63" t="s">
        <v>39</v>
      </c>
      <c r="I63" s="37">
        <v>0</v>
      </c>
      <c r="J63" s="38">
        <f>LOOKUP(H63,B.FLG,B.FLG.AREA)*(CEILING(D63/3,1))*I63</f>
        <v>0</v>
      </c>
      <c r="K63" s="39">
        <f>LOOKUP(H63,B.FLG,B.FLG.AREA)</f>
        <v>2.8652110398902312E-2</v>
      </c>
      <c r="L63" s="64">
        <v>0.38</v>
      </c>
      <c r="M63" s="325">
        <f t="shared" ref="M63:M65" si="15">L63*I63</f>
        <v>0</v>
      </c>
      <c r="P63" s="322" t="s">
        <v>35</v>
      </c>
      <c r="Q63" s="322" t="s">
        <v>35</v>
      </c>
      <c r="R63" s="60">
        <v>2.5000000000000001E-2</v>
      </c>
      <c r="S63" s="60">
        <v>0.15</v>
      </c>
      <c r="T63" s="60">
        <v>0.108</v>
      </c>
      <c r="U63" s="61">
        <f t="shared" si="12"/>
        <v>9.1608841778678361E-3</v>
      </c>
      <c r="V63" s="322">
        <v>5</v>
      </c>
      <c r="W63" s="54">
        <v>12</v>
      </c>
    </row>
    <row r="64" spans="4:31" hidden="1" x14ac:dyDescent="0.25">
      <c r="D64" s="62"/>
      <c r="E64" s="62">
        <f t="shared" si="13"/>
        <v>18</v>
      </c>
      <c r="F64" s="46"/>
      <c r="G64" s="46"/>
      <c r="H64" s="63" t="s">
        <v>40</v>
      </c>
      <c r="I64" s="37">
        <v>0</v>
      </c>
      <c r="J64" s="38">
        <f t="shared" si="14"/>
        <v>0</v>
      </c>
      <c r="K64" s="39">
        <f>LOOKUP(H64,B.FLG,B.FLG.AREA)</f>
        <v>4.1187065086725587E-2</v>
      </c>
      <c r="L64" s="64">
        <v>0.46</v>
      </c>
      <c r="M64" s="325">
        <f t="shared" si="15"/>
        <v>0</v>
      </c>
      <c r="P64" s="322" t="s">
        <v>36</v>
      </c>
      <c r="Q64" s="322" t="s">
        <v>36</v>
      </c>
      <c r="R64" s="60">
        <v>0.04</v>
      </c>
      <c r="S64" s="60">
        <v>0.15</v>
      </c>
      <c r="T64" s="60">
        <v>0.127</v>
      </c>
      <c r="U64" s="61">
        <f t="shared" si="12"/>
        <v>1.2667686977437444E-2</v>
      </c>
      <c r="V64" s="322">
        <v>5</v>
      </c>
      <c r="W64" s="54">
        <v>15</v>
      </c>
    </row>
    <row r="65" spans="4:23" hidden="1" x14ac:dyDescent="0.25">
      <c r="D65" s="62"/>
      <c r="E65" s="62">
        <f t="shared" si="13"/>
        <v>25</v>
      </c>
      <c r="F65" s="46"/>
      <c r="G65" s="46"/>
      <c r="H65" s="63" t="s">
        <v>48</v>
      </c>
      <c r="I65" s="37">
        <v>0</v>
      </c>
      <c r="J65" s="38">
        <f t="shared" si="14"/>
        <v>0</v>
      </c>
      <c r="K65" s="39">
        <f>LOOKUP(H65,B.FLG,B.FLG.AREA)*1.5</f>
        <v>0.39631191325035237</v>
      </c>
      <c r="L65" s="64">
        <v>4.46</v>
      </c>
      <c r="M65" s="325">
        <f t="shared" si="15"/>
        <v>0</v>
      </c>
      <c r="P65" s="322" t="s">
        <v>37</v>
      </c>
      <c r="Q65" s="322" t="s">
        <v>37</v>
      </c>
      <c r="R65" s="60">
        <v>0.05</v>
      </c>
      <c r="S65" s="60">
        <v>0.15</v>
      </c>
      <c r="T65" s="60">
        <v>0.152</v>
      </c>
      <c r="U65" s="61">
        <f t="shared" si="12"/>
        <v>1.8145839167134643E-2</v>
      </c>
      <c r="V65" s="322">
        <v>5</v>
      </c>
      <c r="W65" s="54">
        <v>15</v>
      </c>
    </row>
    <row r="66" spans="4:23" hidden="1" x14ac:dyDescent="0.25">
      <c r="D66" s="62"/>
      <c r="E66" s="62">
        <f t="shared" si="13"/>
        <v>30</v>
      </c>
      <c r="F66" s="46"/>
      <c r="G66" s="46"/>
      <c r="H66" s="63" t="s">
        <v>50</v>
      </c>
      <c r="I66" s="37">
        <v>0</v>
      </c>
      <c r="J66" s="38">
        <f t="shared" si="14"/>
        <v>0</v>
      </c>
      <c r="K66" s="39">
        <f t="shared" ref="K66:K78" si="16">LOOKUP(H66,B.FLG,B.FLG.AREA)</f>
        <v>0.41853868127450011</v>
      </c>
      <c r="L66" s="65">
        <f t="shared" ref="L66" si="17">+E66*K66*I66</f>
        <v>0</v>
      </c>
      <c r="P66" s="322" t="s">
        <v>38</v>
      </c>
      <c r="Q66" s="322" t="s">
        <v>38</v>
      </c>
      <c r="R66" s="60">
        <v>6.5000000000000002E-2</v>
      </c>
      <c r="S66" s="60">
        <v>0.15</v>
      </c>
      <c r="T66" s="60">
        <v>0.17799999999999999</v>
      </c>
      <c r="U66" s="61">
        <f t="shared" si="12"/>
        <v>2.4884555409084748E-2</v>
      </c>
      <c r="V66" s="322">
        <v>5</v>
      </c>
      <c r="W66" s="54">
        <v>15</v>
      </c>
    </row>
    <row r="67" spans="4:23" hidden="1" x14ac:dyDescent="0.25">
      <c r="D67" s="62"/>
      <c r="E67" s="62">
        <f t="shared" si="13"/>
        <v>30</v>
      </c>
      <c r="F67" s="46"/>
      <c r="G67" s="46"/>
      <c r="H67" s="63" t="s">
        <v>50</v>
      </c>
      <c r="I67" s="37">
        <v>0</v>
      </c>
      <c r="J67" s="38">
        <f t="shared" si="14"/>
        <v>0</v>
      </c>
      <c r="K67" s="39">
        <f t="shared" si="16"/>
        <v>0.41853868127450011</v>
      </c>
      <c r="L67" s="64">
        <f>+E67*K67*I67*2</f>
        <v>0</v>
      </c>
      <c r="M67" s="325" t="s">
        <v>116</v>
      </c>
      <c r="P67" s="322" t="s">
        <v>39</v>
      </c>
      <c r="Q67" s="322" t="s">
        <v>39</v>
      </c>
      <c r="R67" s="60">
        <v>0.08</v>
      </c>
      <c r="S67" s="60">
        <v>0.15</v>
      </c>
      <c r="T67" s="60">
        <v>0.191</v>
      </c>
      <c r="U67" s="61">
        <f t="shared" si="12"/>
        <v>2.8652110398902312E-2</v>
      </c>
      <c r="V67" s="322">
        <v>5</v>
      </c>
      <c r="W67" s="54">
        <v>18</v>
      </c>
    </row>
    <row r="68" spans="4:23" hidden="1" x14ac:dyDescent="0.25">
      <c r="D68" s="62"/>
      <c r="E68" s="62">
        <f t="shared" si="13"/>
        <v>30</v>
      </c>
      <c r="F68" s="46"/>
      <c r="G68" s="46"/>
      <c r="H68" s="63" t="s">
        <v>50</v>
      </c>
      <c r="I68" s="37">
        <v>0</v>
      </c>
      <c r="J68" s="38">
        <f t="shared" si="14"/>
        <v>0</v>
      </c>
      <c r="K68" s="39">
        <f t="shared" si="16"/>
        <v>0.41853868127450011</v>
      </c>
      <c r="L68" s="39">
        <f t="shared" ref="L68:L78" si="18">+E68*K68*I68</f>
        <v>0</v>
      </c>
      <c r="P68" s="322" t="s">
        <v>40</v>
      </c>
      <c r="Q68" s="322" t="s">
        <v>40</v>
      </c>
      <c r="R68" s="60">
        <v>0.1</v>
      </c>
      <c r="S68" s="60">
        <v>0.15</v>
      </c>
      <c r="T68" s="60">
        <v>0.22900000000000001</v>
      </c>
      <c r="U68" s="61">
        <f t="shared" si="12"/>
        <v>4.1187065086725587E-2</v>
      </c>
      <c r="V68" s="322">
        <v>5</v>
      </c>
      <c r="W68" s="54">
        <v>18</v>
      </c>
    </row>
    <row r="69" spans="4:23" hidden="1" x14ac:dyDescent="0.25">
      <c r="D69" s="62"/>
      <c r="E69" s="62">
        <f t="shared" si="13"/>
        <v>30</v>
      </c>
      <c r="F69" s="46"/>
      <c r="G69" s="46"/>
      <c r="H69" s="63" t="s">
        <v>50</v>
      </c>
      <c r="I69" s="37">
        <v>0</v>
      </c>
      <c r="J69" s="38">
        <f t="shared" si="14"/>
        <v>0</v>
      </c>
      <c r="K69" s="39">
        <f t="shared" si="16"/>
        <v>0.41853868127450011</v>
      </c>
      <c r="L69" s="39">
        <f t="shared" si="18"/>
        <v>0</v>
      </c>
      <c r="M69" s="66"/>
      <c r="P69" s="322" t="s">
        <v>41</v>
      </c>
      <c r="Q69" s="322" t="s">
        <v>41</v>
      </c>
      <c r="R69" s="60">
        <v>0.125</v>
      </c>
      <c r="S69" s="60">
        <v>0.15</v>
      </c>
      <c r="T69" s="60">
        <v>0.254</v>
      </c>
      <c r="U69" s="61">
        <f t="shared" si="12"/>
        <v>5.0670747909749778E-2</v>
      </c>
      <c r="V69" s="322">
        <v>5</v>
      </c>
      <c r="W69" s="54">
        <v>18</v>
      </c>
    </row>
    <row r="70" spans="4:23" hidden="1" x14ac:dyDescent="0.25">
      <c r="D70" s="62"/>
      <c r="E70" s="62">
        <f t="shared" si="13"/>
        <v>20</v>
      </c>
      <c r="F70" s="46"/>
      <c r="G70" s="46"/>
      <c r="H70" s="63" t="s">
        <v>42</v>
      </c>
      <c r="I70" s="37">
        <v>0</v>
      </c>
      <c r="J70" s="38">
        <f t="shared" si="14"/>
        <v>0</v>
      </c>
      <c r="K70" s="39">
        <f t="shared" si="16"/>
        <v>6.1136178437020787E-2</v>
      </c>
      <c r="L70" s="39">
        <f t="shared" si="18"/>
        <v>0</v>
      </c>
      <c r="P70" s="322" t="s">
        <v>42</v>
      </c>
      <c r="Q70" s="322" t="s">
        <v>42</v>
      </c>
      <c r="R70" s="60">
        <v>0.15</v>
      </c>
      <c r="S70" s="60">
        <v>0.15</v>
      </c>
      <c r="T70" s="60">
        <v>0.27900000000000003</v>
      </c>
      <c r="U70" s="61">
        <f t="shared" si="12"/>
        <v>6.1136178437020787E-2</v>
      </c>
      <c r="V70" s="322">
        <v>5</v>
      </c>
      <c r="W70" s="54">
        <v>20</v>
      </c>
    </row>
    <row r="71" spans="4:23" hidden="1" x14ac:dyDescent="0.25">
      <c r="D71" s="62"/>
      <c r="E71" s="62">
        <f t="shared" si="13"/>
        <v>20</v>
      </c>
      <c r="F71" s="46"/>
      <c r="G71" s="46"/>
      <c r="H71" s="63" t="s">
        <v>43</v>
      </c>
      <c r="I71" s="37">
        <v>0</v>
      </c>
      <c r="J71" s="38">
        <f t="shared" si="14"/>
        <v>0</v>
      </c>
      <c r="K71" s="39">
        <f t="shared" si="16"/>
        <v>8.5529859993982132E-2</v>
      </c>
      <c r="L71" s="39">
        <f t="shared" si="18"/>
        <v>0</v>
      </c>
      <c r="P71" s="322" t="s">
        <v>43</v>
      </c>
      <c r="Q71" s="322" t="s">
        <v>43</v>
      </c>
      <c r="R71" s="60">
        <v>0.2</v>
      </c>
      <c r="S71" s="60">
        <v>0.15</v>
      </c>
      <c r="T71" s="60">
        <v>0.33</v>
      </c>
      <c r="U71" s="61">
        <f t="shared" si="12"/>
        <v>8.5529859993982132E-2</v>
      </c>
      <c r="V71" s="322">
        <v>5</v>
      </c>
      <c r="W71" s="54">
        <v>20</v>
      </c>
    </row>
    <row r="72" spans="4:23" hidden="1" x14ac:dyDescent="0.25">
      <c r="D72" s="62"/>
      <c r="E72" s="62">
        <f t="shared" si="13"/>
        <v>22</v>
      </c>
      <c r="F72" s="46"/>
      <c r="G72" s="46"/>
      <c r="H72" s="63" t="s">
        <v>44</v>
      </c>
      <c r="I72" s="37">
        <v>0</v>
      </c>
      <c r="J72" s="38">
        <f t="shared" si="14"/>
        <v>0</v>
      </c>
      <c r="K72" s="39">
        <f t="shared" si="16"/>
        <v>0.11341149479459153</v>
      </c>
      <c r="L72" s="39">
        <f t="shared" si="18"/>
        <v>0</v>
      </c>
      <c r="P72" s="322" t="s">
        <v>44</v>
      </c>
      <c r="Q72" s="322" t="s">
        <v>44</v>
      </c>
      <c r="R72" s="60">
        <v>0.25</v>
      </c>
      <c r="S72" s="60">
        <v>0.15</v>
      </c>
      <c r="T72" s="60">
        <v>0.38</v>
      </c>
      <c r="U72" s="61">
        <f t="shared" si="12"/>
        <v>0.11341149479459153</v>
      </c>
      <c r="V72" s="322">
        <v>5</v>
      </c>
      <c r="W72" s="54">
        <v>22</v>
      </c>
    </row>
    <row r="73" spans="4:23" hidden="1" x14ac:dyDescent="0.25">
      <c r="D73" s="62"/>
      <c r="E73" s="62">
        <f t="shared" si="13"/>
        <v>22</v>
      </c>
      <c r="F73" s="46"/>
      <c r="G73" s="46"/>
      <c r="H73" s="63" t="s">
        <v>45</v>
      </c>
      <c r="I73" s="37">
        <v>0</v>
      </c>
      <c r="J73" s="38">
        <f t="shared" si="14"/>
        <v>0</v>
      </c>
      <c r="K73" s="39">
        <f t="shared" si="16"/>
        <v>0.14522012041218818</v>
      </c>
      <c r="L73" s="39">
        <f t="shared" si="18"/>
        <v>0</v>
      </c>
      <c r="P73" s="322" t="s">
        <v>45</v>
      </c>
      <c r="Q73" s="322" t="s">
        <v>45</v>
      </c>
      <c r="R73" s="60">
        <v>0.3</v>
      </c>
      <c r="S73" s="60">
        <v>0.15</v>
      </c>
      <c r="T73" s="60">
        <v>0.43</v>
      </c>
      <c r="U73" s="61">
        <f t="shared" si="12"/>
        <v>0.14522012041218818</v>
      </c>
      <c r="V73" s="322">
        <v>5</v>
      </c>
      <c r="W73" s="54">
        <v>22</v>
      </c>
    </row>
    <row r="74" spans="4:23" hidden="1" x14ac:dyDescent="0.25">
      <c r="D74" s="62"/>
      <c r="E74" s="62">
        <f t="shared" si="13"/>
        <v>25</v>
      </c>
      <c r="F74" s="46"/>
      <c r="G74" s="46"/>
      <c r="H74" s="63" t="s">
        <v>46</v>
      </c>
      <c r="I74" s="37">
        <v>0</v>
      </c>
      <c r="J74" s="38">
        <f t="shared" si="14"/>
        <v>0</v>
      </c>
      <c r="K74" s="39">
        <f t="shared" si="16"/>
        <v>0.18095573684677208</v>
      </c>
      <c r="L74" s="39">
        <f t="shared" si="18"/>
        <v>0</v>
      </c>
      <c r="P74" s="322" t="s">
        <v>46</v>
      </c>
      <c r="Q74" s="322" t="s">
        <v>46</v>
      </c>
      <c r="R74" s="60">
        <v>0.35</v>
      </c>
      <c r="S74" s="60">
        <v>0.15</v>
      </c>
      <c r="T74" s="60">
        <v>0.48</v>
      </c>
      <c r="U74" s="61">
        <f t="shared" si="12"/>
        <v>0.18095573684677208</v>
      </c>
      <c r="V74" s="322">
        <v>5</v>
      </c>
      <c r="W74" s="54">
        <v>25</v>
      </c>
    </row>
    <row r="75" spans="4:23" hidden="1" x14ac:dyDescent="0.25">
      <c r="D75" s="62"/>
      <c r="E75" s="62">
        <f t="shared" si="13"/>
        <v>25</v>
      </c>
      <c r="F75" s="46"/>
      <c r="G75" s="46"/>
      <c r="H75" s="63" t="s">
        <v>47</v>
      </c>
      <c r="I75" s="37">
        <v>0</v>
      </c>
      <c r="J75" s="38">
        <f t="shared" si="14"/>
        <v>0</v>
      </c>
      <c r="K75" s="39">
        <f t="shared" si="16"/>
        <v>0.22061834409834324</v>
      </c>
      <c r="L75" s="39">
        <f t="shared" si="18"/>
        <v>0</v>
      </c>
      <c r="P75" s="322" t="s">
        <v>47</v>
      </c>
      <c r="Q75" s="322" t="s">
        <v>47</v>
      </c>
      <c r="R75" s="60">
        <v>0.4</v>
      </c>
      <c r="S75" s="60">
        <v>0.15</v>
      </c>
      <c r="T75" s="60">
        <v>0.53</v>
      </c>
      <c r="U75" s="61">
        <f t="shared" si="12"/>
        <v>0.22061834409834324</v>
      </c>
      <c r="V75" s="322">
        <v>5</v>
      </c>
      <c r="W75" s="54">
        <v>25</v>
      </c>
    </row>
    <row r="76" spans="4:23" hidden="1" x14ac:dyDescent="0.25">
      <c r="D76" s="62"/>
      <c r="E76" s="62">
        <f t="shared" si="13"/>
        <v>25</v>
      </c>
      <c r="F76" s="46"/>
      <c r="G76" s="46"/>
      <c r="H76" s="63" t="s">
        <v>48</v>
      </c>
      <c r="I76" s="37">
        <v>0</v>
      </c>
      <c r="J76" s="38">
        <f t="shared" si="14"/>
        <v>0</v>
      </c>
      <c r="K76" s="39">
        <f t="shared" si="16"/>
        <v>0.26420794216690158</v>
      </c>
      <c r="L76" s="39">
        <f t="shared" si="18"/>
        <v>0</v>
      </c>
      <c r="P76" s="322" t="s">
        <v>48</v>
      </c>
      <c r="Q76" s="322" t="s">
        <v>48</v>
      </c>
      <c r="R76" s="60">
        <v>0.45</v>
      </c>
      <c r="S76" s="60">
        <v>0.15</v>
      </c>
      <c r="T76" s="60">
        <v>0.57999999999999996</v>
      </c>
      <c r="U76" s="61">
        <f t="shared" si="12"/>
        <v>0.26420794216690158</v>
      </c>
      <c r="V76" s="322">
        <v>5</v>
      </c>
      <c r="W76" s="54">
        <v>25</v>
      </c>
    </row>
    <row r="77" spans="4:23" hidden="1" x14ac:dyDescent="0.25">
      <c r="D77" s="62"/>
      <c r="E77" s="62">
        <f t="shared" si="13"/>
        <v>28</v>
      </c>
      <c r="F77" s="46"/>
      <c r="G77" s="46"/>
      <c r="H77" s="63" t="s">
        <v>49</v>
      </c>
      <c r="I77" s="37">
        <v>0</v>
      </c>
      <c r="J77" s="38">
        <f t="shared" si="14"/>
        <v>0</v>
      </c>
      <c r="K77" s="39">
        <f t="shared" si="16"/>
        <v>0.31172453105244724</v>
      </c>
      <c r="L77" s="39">
        <f t="shared" si="18"/>
        <v>0</v>
      </c>
      <c r="P77" s="322" t="s">
        <v>49</v>
      </c>
      <c r="Q77" s="322" t="s">
        <v>49</v>
      </c>
      <c r="R77" s="60">
        <v>0.5</v>
      </c>
      <c r="S77" s="60">
        <v>0.15</v>
      </c>
      <c r="T77" s="60">
        <v>0.63</v>
      </c>
      <c r="U77" s="61">
        <f t="shared" si="12"/>
        <v>0.31172453105244724</v>
      </c>
      <c r="V77" s="322">
        <v>5</v>
      </c>
      <c r="W77" s="54">
        <v>28</v>
      </c>
    </row>
    <row r="78" spans="4:23" hidden="1" x14ac:dyDescent="0.25">
      <c r="D78" s="62"/>
      <c r="E78" s="62">
        <f t="shared" si="13"/>
        <v>30</v>
      </c>
      <c r="F78" s="46"/>
      <c r="G78" s="46"/>
      <c r="H78" s="63" t="s">
        <v>50</v>
      </c>
      <c r="I78" s="37">
        <v>0</v>
      </c>
      <c r="J78" s="38">
        <f t="shared" si="14"/>
        <v>0</v>
      </c>
      <c r="K78" s="39">
        <f t="shared" si="16"/>
        <v>0.41853868127450011</v>
      </c>
      <c r="L78" s="39">
        <f t="shared" si="18"/>
        <v>0</v>
      </c>
      <c r="P78" s="322" t="s">
        <v>50</v>
      </c>
      <c r="Q78" s="322" t="s">
        <v>50</v>
      </c>
      <c r="R78" s="60">
        <v>0.6</v>
      </c>
      <c r="S78" s="60">
        <v>0.15</v>
      </c>
      <c r="T78" s="60">
        <v>0.73</v>
      </c>
      <c r="U78" s="61">
        <f t="shared" si="12"/>
        <v>0.41853868127450011</v>
      </c>
      <c r="V78" s="322">
        <v>5</v>
      </c>
      <c r="W78" s="54">
        <v>30</v>
      </c>
    </row>
    <row r="80" spans="4:23" x14ac:dyDescent="0.25">
      <c r="J80" s="67">
        <f>SUM(J40:J79)*1.35</f>
        <v>0.28332630296446393</v>
      </c>
      <c r="L80" s="68"/>
      <c r="M80" s="67">
        <f>SUM(M40:M79)*1.25</f>
        <v>5.2125000000000004</v>
      </c>
    </row>
    <row r="81" spans="2:17" s="66" customFormat="1" ht="12.75" x14ac:dyDescent="0.25">
      <c r="H81" s="69"/>
      <c r="J81" s="70">
        <f>J21</f>
        <v>0</v>
      </c>
      <c r="K81" s="71"/>
      <c r="L81" s="70" t="str">
        <f>L21</f>
        <v>BIS</v>
      </c>
      <c r="M81" s="72" t="str">
        <f>L21</f>
        <v>BIS</v>
      </c>
      <c r="N81" s="70" t="str">
        <f>M21</f>
        <v>BIS</v>
      </c>
      <c r="O81" s="73"/>
    </row>
    <row r="82" spans="2:17" ht="18" x14ac:dyDescent="0.25">
      <c r="C82" s="213" t="str">
        <f>'01_1.35 KL'!C82</f>
        <v>MOC BY PARAMOUNT &amp; THK AS PER JRF</v>
      </c>
      <c r="D82" s="214"/>
      <c r="E82" s="214"/>
      <c r="F82" s="214"/>
      <c r="G82" s="214"/>
      <c r="H82" s="215"/>
      <c r="J82" s="74">
        <f>SUM(J23:J37)</f>
        <v>0.96591819505998888</v>
      </c>
      <c r="K82" s="75"/>
      <c r="L82" s="74">
        <f>SUM(L23:L37)</f>
        <v>2.0263272615654166</v>
      </c>
      <c r="M82" s="74">
        <f t="shared" ref="M82:N82" si="19">SUM(M23:M37)</f>
        <v>4.7284346966132453</v>
      </c>
      <c r="N82" s="74">
        <f t="shared" si="19"/>
        <v>0.67544242052180548</v>
      </c>
    </row>
    <row r="83" spans="2:17" ht="18" x14ac:dyDescent="0.25">
      <c r="B83" s="327"/>
      <c r="D83" s="327"/>
      <c r="E83" s="327"/>
      <c r="F83" s="327"/>
      <c r="G83" s="327"/>
      <c r="H83" s="6"/>
      <c r="I83" s="327"/>
      <c r="J83" s="327" t="s">
        <v>77</v>
      </c>
      <c r="K83" s="76"/>
      <c r="L83" s="77" t="s">
        <v>78</v>
      </c>
      <c r="M83" s="78" t="s">
        <v>78</v>
      </c>
      <c r="N83" s="79" t="s">
        <v>78</v>
      </c>
      <c r="O83" s="327"/>
    </row>
    <row r="84" spans="2:17" s="86" customFormat="1" ht="20.25" customHeight="1" x14ac:dyDescent="0.25">
      <c r="B84" s="70" t="s">
        <v>117</v>
      </c>
      <c r="C84" s="80" t="s">
        <v>62</v>
      </c>
      <c r="D84" s="81"/>
      <c r="E84" s="81"/>
      <c r="F84" s="82"/>
      <c r="G84" s="83"/>
      <c r="H84" s="83" t="s">
        <v>63</v>
      </c>
      <c r="I84" s="83"/>
      <c r="J84" s="83" t="s">
        <v>64</v>
      </c>
      <c r="K84" s="84"/>
      <c r="L84" s="84"/>
      <c r="M84" s="84"/>
      <c r="N84" s="85"/>
    </row>
    <row r="85" spans="2:17" x14ac:dyDescent="0.25">
      <c r="B85" s="87" t="s">
        <v>88</v>
      </c>
      <c r="C85" s="88" t="s">
        <v>118</v>
      </c>
      <c r="D85" s="89">
        <f>J81</f>
        <v>0</v>
      </c>
      <c r="E85" s="320"/>
      <c r="F85" s="180"/>
      <c r="G85" s="179">
        <f>CEILING(J82*1.05,1)</f>
        <v>2</v>
      </c>
      <c r="H85" s="91">
        <v>0</v>
      </c>
      <c r="I85" s="39" t="s">
        <v>65</v>
      </c>
      <c r="J85" s="92">
        <f>+G85*H85</f>
        <v>0</v>
      </c>
      <c r="K85" s="93"/>
      <c r="N85" s="94">
        <f>+J81</f>
        <v>0</v>
      </c>
    </row>
    <row r="86" spans="2:17" x14ac:dyDescent="0.25">
      <c r="B86" s="87" t="s">
        <v>119</v>
      </c>
      <c r="C86" s="95" t="s">
        <v>79</v>
      </c>
      <c r="D86" s="409" t="str">
        <f>L81</f>
        <v>BIS</v>
      </c>
      <c r="E86" s="320" t="s">
        <v>197</v>
      </c>
      <c r="F86" s="180"/>
      <c r="G86" s="179">
        <f>CEILING(L82*1.1,1)</f>
        <v>3</v>
      </c>
      <c r="H86" s="91">
        <f>'RESIN RATE'!D12</f>
        <v>565</v>
      </c>
      <c r="I86" s="39" t="s">
        <v>65</v>
      </c>
      <c r="J86" s="92">
        <f t="shared" ref="J86:J109" si="20">+G86*H86</f>
        <v>1695</v>
      </c>
      <c r="K86" s="93"/>
      <c r="N86" s="94" t="s">
        <v>80</v>
      </c>
    </row>
    <row r="87" spans="2:17" x14ac:dyDescent="0.25">
      <c r="B87" s="87" t="s">
        <v>120</v>
      </c>
      <c r="C87" s="95" t="s">
        <v>79</v>
      </c>
      <c r="D87" s="409" t="str">
        <f>M81</f>
        <v>BIS</v>
      </c>
      <c r="E87" s="320" t="s">
        <v>197</v>
      </c>
      <c r="F87" s="180"/>
      <c r="G87" s="179">
        <f>CEILING(M82*1.1,1)</f>
        <v>6</v>
      </c>
      <c r="H87" s="91">
        <f>'RESIN RATE'!D12</f>
        <v>565</v>
      </c>
      <c r="I87" s="39" t="s">
        <v>65</v>
      </c>
      <c r="J87" s="92">
        <f t="shared" si="20"/>
        <v>3390</v>
      </c>
      <c r="K87" s="93"/>
      <c r="N87" s="94" t="s">
        <v>80</v>
      </c>
    </row>
    <row r="88" spans="2:17" x14ac:dyDescent="0.25">
      <c r="B88" s="87" t="s">
        <v>121</v>
      </c>
      <c r="C88" s="95" t="s">
        <v>79</v>
      </c>
      <c r="D88" s="409" t="str">
        <f>N81</f>
        <v>BIS</v>
      </c>
      <c r="E88" s="320" t="s">
        <v>197</v>
      </c>
      <c r="F88" s="180"/>
      <c r="G88" s="179">
        <f>CEILING(N82*1.1,1)</f>
        <v>1</v>
      </c>
      <c r="H88" s="91">
        <f>'RESIN RATE'!D12</f>
        <v>565</v>
      </c>
      <c r="I88" s="39" t="s">
        <v>65</v>
      </c>
      <c r="J88" s="92">
        <f t="shared" si="20"/>
        <v>565</v>
      </c>
      <c r="K88" s="93"/>
      <c r="N88" s="94" t="s">
        <v>80</v>
      </c>
    </row>
    <row r="89" spans="2:17" x14ac:dyDescent="0.25">
      <c r="B89" s="87" t="s">
        <v>122</v>
      </c>
      <c r="C89" s="105" t="s">
        <v>123</v>
      </c>
      <c r="D89" s="106"/>
      <c r="E89" s="320"/>
      <c r="F89" s="180"/>
      <c r="G89" s="179">
        <v>0</v>
      </c>
      <c r="H89" s="107">
        <f>CEILING(G85*100,50)</f>
        <v>200</v>
      </c>
      <c r="I89" s="39" t="s">
        <v>65</v>
      </c>
      <c r="J89" s="92">
        <f t="shared" si="20"/>
        <v>0</v>
      </c>
      <c r="K89" s="93"/>
      <c r="N89" s="94" t="s">
        <v>81</v>
      </c>
    </row>
    <row r="90" spans="2:17" s="49" customFormat="1" x14ac:dyDescent="0.25">
      <c r="B90" s="96" t="s">
        <v>124</v>
      </c>
      <c r="C90" s="347" t="s">
        <v>272</v>
      </c>
      <c r="D90" s="348"/>
      <c r="E90" s="349"/>
      <c r="F90" s="350"/>
      <c r="G90" s="351">
        <v>1</v>
      </c>
      <c r="H90" s="352">
        <f>CEILING((3.14*0.05*0.05*6+0.785*0.1*0.1*10)*H86,50)+1500</f>
        <v>1600</v>
      </c>
      <c r="I90" s="353" t="s">
        <v>65</v>
      </c>
      <c r="J90" s="354">
        <f t="shared" si="20"/>
        <v>1600</v>
      </c>
      <c r="K90" s="57">
        <f>(3.14*0.05*0.05*6+0.785*0.1*0.1*10)</f>
        <v>0.12560000000000002</v>
      </c>
      <c r="N90" s="103" t="s">
        <v>81</v>
      </c>
      <c r="Q90" s="49" t="s">
        <v>125</v>
      </c>
    </row>
    <row r="91" spans="2:17" x14ac:dyDescent="0.25">
      <c r="B91" s="87" t="s">
        <v>126</v>
      </c>
      <c r="C91" s="105" t="s">
        <v>68</v>
      </c>
      <c r="D91" s="106"/>
      <c r="E91" s="320"/>
      <c r="F91" s="180"/>
      <c r="G91" s="179">
        <v>1</v>
      </c>
      <c r="H91" s="107">
        <f>CEILING((SUM(J40:J78)*H85+SUM(M40:M65)*H86)*1.15,500)</f>
        <v>3000</v>
      </c>
      <c r="I91" s="39" t="s">
        <v>65</v>
      </c>
      <c r="J91" s="92">
        <f t="shared" si="20"/>
        <v>3000</v>
      </c>
      <c r="K91" s="93"/>
      <c r="N91" s="94" t="s">
        <v>80</v>
      </c>
    </row>
    <row r="92" spans="2:17" x14ac:dyDescent="0.25">
      <c r="B92" s="87" t="s">
        <v>127</v>
      </c>
      <c r="C92" s="108" t="s">
        <v>271</v>
      </c>
      <c r="D92" s="109"/>
      <c r="E92" s="320"/>
      <c r="F92" s="180"/>
      <c r="G92" s="179">
        <v>1</v>
      </c>
      <c r="H92" s="107">
        <f>CEILING((100*0+950*1)*1.2,100)</f>
        <v>1200</v>
      </c>
      <c r="I92" s="39" t="s">
        <v>65</v>
      </c>
      <c r="J92" s="92">
        <f t="shared" si="20"/>
        <v>1200</v>
      </c>
      <c r="K92" s="93"/>
      <c r="N92" s="94" t="s">
        <v>81</v>
      </c>
    </row>
    <row r="93" spans="2:17" x14ac:dyDescent="0.25">
      <c r="B93" s="87" t="s">
        <v>128</v>
      </c>
      <c r="C93" s="108" t="s">
        <v>129</v>
      </c>
      <c r="D93" s="109"/>
      <c r="E93" s="320"/>
      <c r="F93" s="180"/>
      <c r="G93" s="179">
        <v>1</v>
      </c>
      <c r="H93" s="345">
        <f>CEILING((75*0+300*0+1250*1)*1.1,100)</f>
        <v>1400</v>
      </c>
      <c r="I93" s="39" t="s">
        <v>65</v>
      </c>
      <c r="J93" s="92">
        <f t="shared" si="20"/>
        <v>1400</v>
      </c>
      <c r="K93" s="93"/>
      <c r="N93" s="94" t="s">
        <v>81</v>
      </c>
    </row>
    <row r="94" spans="2:17" s="49" customFormat="1" x14ac:dyDescent="0.25">
      <c r="B94" s="96" t="s">
        <v>130</v>
      </c>
      <c r="C94" s="292" t="s">
        <v>131</v>
      </c>
      <c r="D94" s="293"/>
      <c r="E94" s="294"/>
      <c r="F94" s="313"/>
      <c r="G94" s="54">
        <v>0</v>
      </c>
      <c r="H94" s="295">
        <f>H92*0.9</f>
        <v>1080</v>
      </c>
      <c r="I94" s="55" t="s">
        <v>65</v>
      </c>
      <c r="J94" s="296">
        <f t="shared" si="20"/>
        <v>0</v>
      </c>
      <c r="K94" s="93"/>
      <c r="L94" s="325"/>
      <c r="N94" s="103" t="s">
        <v>81</v>
      </c>
    </row>
    <row r="95" spans="2:17" s="49" customFormat="1" x14ac:dyDescent="0.25">
      <c r="B95" s="96" t="s">
        <v>132</v>
      </c>
      <c r="C95" s="292" t="s">
        <v>133</v>
      </c>
      <c r="D95" s="293"/>
      <c r="E95" s="294"/>
      <c r="F95" s="313"/>
      <c r="G95" s="54">
        <v>0</v>
      </c>
      <c r="H95" s="295">
        <f>H93</f>
        <v>1400</v>
      </c>
      <c r="I95" s="55" t="s">
        <v>65</v>
      </c>
      <c r="J95" s="296">
        <f t="shared" si="20"/>
        <v>0</v>
      </c>
      <c r="K95" s="93"/>
      <c r="L95" s="325"/>
      <c r="N95" s="103" t="s">
        <v>81</v>
      </c>
    </row>
    <row r="96" spans="2:17" s="49" customFormat="1" x14ac:dyDescent="0.25">
      <c r="B96" s="96"/>
      <c r="C96" s="110" t="s">
        <v>134</v>
      </c>
      <c r="D96" s="111"/>
      <c r="E96" s="97"/>
      <c r="F96" s="98"/>
      <c r="G96" s="99">
        <v>1</v>
      </c>
      <c r="H96" s="100">
        <f>CEILING(PI()/4*(DIA^2)*12*2*80,50)</f>
        <v>150</v>
      </c>
      <c r="I96" s="101" t="s">
        <v>65</v>
      </c>
      <c r="J96" s="102">
        <f t="shared" si="20"/>
        <v>150</v>
      </c>
      <c r="K96" s="93"/>
      <c r="L96" s="325"/>
      <c r="N96" s="103" t="s">
        <v>81</v>
      </c>
    </row>
    <row r="97" spans="2:27" s="113" customFormat="1" x14ac:dyDescent="0.25">
      <c r="B97" s="87" t="s">
        <v>135</v>
      </c>
      <c r="C97" s="305" t="s">
        <v>136</v>
      </c>
      <c r="D97" s="306"/>
      <c r="E97" s="307"/>
      <c r="F97" s="308"/>
      <c r="G97" s="295">
        <v>0</v>
      </c>
      <c r="H97" s="309">
        <v>20000</v>
      </c>
      <c r="I97" s="55" t="s">
        <v>65</v>
      </c>
      <c r="J97" s="296">
        <f t="shared" si="20"/>
        <v>0</v>
      </c>
      <c r="K97" s="93"/>
      <c r="L97" s="325"/>
      <c r="M97" s="325"/>
      <c r="N97" s="112" t="s">
        <v>81</v>
      </c>
      <c r="P97" s="325"/>
      <c r="Q97" s="325"/>
      <c r="R97" s="325"/>
      <c r="S97" s="325"/>
      <c r="T97" s="325"/>
      <c r="U97" s="325"/>
      <c r="V97" s="325"/>
      <c r="W97" s="325"/>
      <c r="X97" s="325"/>
      <c r="Y97" s="325"/>
      <c r="Z97" s="325"/>
      <c r="AA97" s="325"/>
    </row>
    <row r="98" spans="2:27" x14ac:dyDescent="0.25">
      <c r="B98" s="87" t="s">
        <v>137</v>
      </c>
      <c r="C98" s="411" t="s">
        <v>89</v>
      </c>
      <c r="D98" s="384"/>
      <c r="E98" s="385"/>
      <c r="F98" s="386"/>
      <c r="G98" s="99">
        <v>4</v>
      </c>
      <c r="H98" s="387">
        <v>500</v>
      </c>
      <c r="I98" s="388" t="s">
        <v>65</v>
      </c>
      <c r="J98" s="389">
        <f t="shared" si="20"/>
        <v>2000</v>
      </c>
      <c r="K98" s="93"/>
      <c r="N98" s="94" t="s">
        <v>81</v>
      </c>
    </row>
    <row r="99" spans="2:27" x14ac:dyDescent="0.25">
      <c r="B99" s="87" t="s">
        <v>138</v>
      </c>
      <c r="C99" s="114" t="s">
        <v>267</v>
      </c>
      <c r="D99" s="115"/>
      <c r="E99" s="97"/>
      <c r="F99" s="98"/>
      <c r="G99" s="99">
        <v>1</v>
      </c>
      <c r="H99" s="100">
        <f>CEILING((3.14*0.05*0.3*10+0.05*0.1*10*4+0.05*0.05*10*4+0.15*0.15*15)*H86,50)</f>
        <v>650</v>
      </c>
      <c r="I99" s="101" t="s">
        <v>65</v>
      </c>
      <c r="J99" s="92">
        <f t="shared" si="20"/>
        <v>650</v>
      </c>
      <c r="K99" s="38">
        <f>J99/H86</f>
        <v>1.1504424778761062</v>
      </c>
      <c r="N99" s="94" t="s">
        <v>80</v>
      </c>
    </row>
    <row r="100" spans="2:27" x14ac:dyDescent="0.25">
      <c r="B100" s="87"/>
      <c r="C100" s="114" t="s">
        <v>140</v>
      </c>
      <c r="D100" s="115"/>
      <c r="E100" s="97"/>
      <c r="F100" s="98"/>
      <c r="G100" s="99">
        <v>2</v>
      </c>
      <c r="H100" s="100">
        <f>CEILING(2.4*110+0.9*H86,10)</f>
        <v>780</v>
      </c>
      <c r="I100" s="101" t="s">
        <v>65</v>
      </c>
      <c r="J100" s="92">
        <f>+G100*H100</f>
        <v>1560</v>
      </c>
      <c r="K100" s="38">
        <f>0.9*G100</f>
        <v>1.8</v>
      </c>
      <c r="N100" s="94" t="s">
        <v>82</v>
      </c>
    </row>
    <row r="101" spans="2:27" x14ac:dyDescent="0.25">
      <c r="B101" s="87" t="s">
        <v>141</v>
      </c>
      <c r="C101" s="297" t="s">
        <v>142</v>
      </c>
      <c r="D101" s="298"/>
      <c r="E101" s="299"/>
      <c r="F101" s="300"/>
      <c r="G101" s="301">
        <v>0</v>
      </c>
      <c r="H101" s="302">
        <f>CEILING((PI()*DIA*0.1*5+((0.2*0.2*18*2+0.15*0.15*12*2)*4))*8*75*1.25,500)</f>
        <v>6500</v>
      </c>
      <c r="I101" s="303" t="s">
        <v>65</v>
      </c>
      <c r="J101" s="304">
        <f t="shared" si="20"/>
        <v>0</v>
      </c>
      <c r="K101" s="93"/>
      <c r="N101" s="94" t="s">
        <v>82</v>
      </c>
    </row>
    <row r="102" spans="2:27" x14ac:dyDescent="0.25">
      <c r="B102" s="87" t="s">
        <v>143</v>
      </c>
      <c r="C102" s="292" t="s">
        <v>144</v>
      </c>
      <c r="D102" s="293"/>
      <c r="E102" s="294"/>
      <c r="F102" s="313"/>
      <c r="G102" s="54">
        <f>CEILING(PI()*DIA+HT,1)</f>
        <v>2</v>
      </c>
      <c r="H102" s="295">
        <v>0</v>
      </c>
      <c r="I102" s="55" t="s">
        <v>65</v>
      </c>
      <c r="J102" s="296">
        <f t="shared" si="20"/>
        <v>0</v>
      </c>
      <c r="K102" s="53">
        <f>+J102/250</f>
        <v>0</v>
      </c>
      <c r="N102" s="94" t="s">
        <v>82</v>
      </c>
    </row>
    <row r="103" spans="2:27" x14ac:dyDescent="0.25">
      <c r="B103" s="87" t="s">
        <v>145</v>
      </c>
      <c r="C103" s="108" t="s">
        <v>67</v>
      </c>
      <c r="D103" s="109"/>
      <c r="E103" s="320"/>
      <c r="F103" s="180"/>
      <c r="G103" s="179">
        <v>1</v>
      </c>
      <c r="H103" s="107">
        <v>750</v>
      </c>
      <c r="I103" s="39" t="s">
        <v>65</v>
      </c>
      <c r="J103" s="92">
        <f t="shared" si="20"/>
        <v>750</v>
      </c>
      <c r="K103" s="93"/>
      <c r="N103" s="94" t="s">
        <v>81</v>
      </c>
    </row>
    <row r="104" spans="2:27" x14ac:dyDescent="0.25">
      <c r="B104" s="87" t="s">
        <v>146</v>
      </c>
      <c r="C104" s="108" t="s">
        <v>147</v>
      </c>
      <c r="D104" s="109"/>
      <c r="E104" s="320"/>
      <c r="F104" s="180"/>
      <c r="G104" s="179">
        <v>1</v>
      </c>
      <c r="H104" s="107">
        <v>750</v>
      </c>
      <c r="I104" s="39" t="s">
        <v>65</v>
      </c>
      <c r="J104" s="92">
        <f t="shared" si="20"/>
        <v>750</v>
      </c>
      <c r="K104" s="93"/>
      <c r="N104" s="94" t="s">
        <v>84</v>
      </c>
    </row>
    <row r="105" spans="2:27" x14ac:dyDescent="0.25">
      <c r="B105" s="87" t="s">
        <v>148</v>
      </c>
      <c r="C105" s="108" t="s">
        <v>69</v>
      </c>
      <c r="D105" s="109"/>
      <c r="E105" s="320"/>
      <c r="F105" s="180"/>
      <c r="G105" s="179">
        <v>1</v>
      </c>
      <c r="H105" s="107">
        <v>1500</v>
      </c>
      <c r="I105" s="39" t="s">
        <v>65</v>
      </c>
      <c r="J105" s="92">
        <f t="shared" si="20"/>
        <v>1500</v>
      </c>
      <c r="K105" s="93"/>
      <c r="N105" s="94" t="s">
        <v>83</v>
      </c>
    </row>
    <row r="106" spans="2:27" x14ac:dyDescent="0.25">
      <c r="B106" s="87" t="s">
        <v>149</v>
      </c>
      <c r="C106" s="292" t="s">
        <v>150</v>
      </c>
      <c r="D106" s="293"/>
      <c r="E106" s="294"/>
      <c r="F106" s="313"/>
      <c r="G106" s="54">
        <v>0</v>
      </c>
      <c r="H106" s="295">
        <v>2500</v>
      </c>
      <c r="I106" s="55" t="s">
        <v>65</v>
      </c>
      <c r="J106" s="296">
        <f t="shared" si="20"/>
        <v>0</v>
      </c>
      <c r="K106" s="93"/>
      <c r="N106" s="94" t="s">
        <v>83</v>
      </c>
    </row>
    <row r="107" spans="2:27" x14ac:dyDescent="0.25">
      <c r="B107" s="87" t="s">
        <v>151</v>
      </c>
      <c r="C107" s="108" t="s">
        <v>85</v>
      </c>
      <c r="D107" s="109"/>
      <c r="E107" s="320"/>
      <c r="F107" s="180"/>
      <c r="G107" s="179">
        <v>0</v>
      </c>
      <c r="H107" s="107">
        <v>0</v>
      </c>
      <c r="I107" s="39" t="s">
        <v>65</v>
      </c>
      <c r="J107" s="92">
        <f t="shared" si="20"/>
        <v>0</v>
      </c>
      <c r="N107" s="94" t="s">
        <v>86</v>
      </c>
    </row>
    <row r="108" spans="2:27" x14ac:dyDescent="0.25">
      <c r="B108" s="87" t="s">
        <v>152</v>
      </c>
      <c r="C108" s="182" t="s">
        <v>71</v>
      </c>
      <c r="D108" s="469">
        <f>+CEILING(M110,500)</f>
        <v>0</v>
      </c>
      <c r="E108" s="469"/>
      <c r="F108" s="180"/>
      <c r="G108" s="116">
        <v>0</v>
      </c>
      <c r="H108" s="107">
        <v>0</v>
      </c>
      <c r="I108" s="39" t="s">
        <v>65</v>
      </c>
      <c r="J108" s="92">
        <f t="shared" si="20"/>
        <v>0</v>
      </c>
      <c r="N108" s="94" t="s">
        <v>83</v>
      </c>
    </row>
    <row r="109" spans="2:27" x14ac:dyDescent="0.25">
      <c r="B109" s="87" t="s">
        <v>153</v>
      </c>
      <c r="C109" s="117" t="s">
        <v>72</v>
      </c>
      <c r="D109" s="118"/>
      <c r="E109" s="22"/>
      <c r="G109" s="116">
        <v>0</v>
      </c>
      <c r="H109" s="107">
        <v>0</v>
      </c>
      <c r="I109" s="39" t="s">
        <v>65</v>
      </c>
      <c r="J109" s="92">
        <f t="shared" si="20"/>
        <v>0</v>
      </c>
      <c r="N109" s="94" t="s">
        <v>83</v>
      </c>
    </row>
    <row r="110" spans="2:27" x14ac:dyDescent="0.25">
      <c r="B110" s="470" t="s">
        <v>66</v>
      </c>
      <c r="C110" s="471"/>
      <c r="D110" s="471"/>
      <c r="E110" s="471"/>
      <c r="F110" s="471"/>
      <c r="G110" s="471"/>
      <c r="H110" s="472"/>
      <c r="I110" s="119" t="s">
        <v>65</v>
      </c>
      <c r="J110" s="120">
        <f>SUM(J85:J109)</f>
        <v>20210</v>
      </c>
      <c r="K110" s="121">
        <f>J110+J113</f>
        <v>25710</v>
      </c>
      <c r="N110" s="53"/>
    </row>
    <row r="111" spans="2:27" x14ac:dyDescent="0.25">
      <c r="B111" s="314"/>
      <c r="C111" s="315"/>
      <c r="D111" s="122"/>
      <c r="E111" s="122"/>
      <c r="F111" s="122"/>
      <c r="G111" s="122"/>
      <c r="H111" s="122"/>
      <c r="I111" s="123"/>
      <c r="J111" s="124">
        <v>0.57999999999999996</v>
      </c>
      <c r="K111" s="93"/>
      <c r="N111" s="53"/>
    </row>
    <row r="112" spans="2:27" x14ac:dyDescent="0.25">
      <c r="B112" s="341"/>
      <c r="C112" s="342"/>
      <c r="D112" s="122"/>
      <c r="E112" s="122"/>
      <c r="F112" s="122"/>
      <c r="G112" s="122"/>
      <c r="H112" s="122"/>
      <c r="I112" s="340" t="s">
        <v>70</v>
      </c>
      <c r="J112" s="120">
        <f>J110/J111</f>
        <v>34844.827586206899</v>
      </c>
      <c r="K112" s="93"/>
      <c r="N112" s="53"/>
    </row>
    <row r="113" spans="2:22" x14ac:dyDescent="0.25">
      <c r="B113" s="343"/>
      <c r="C113" s="343"/>
      <c r="D113" s="123"/>
      <c r="E113" s="123"/>
      <c r="F113" s="123"/>
      <c r="G113" s="123"/>
      <c r="I113" s="340" t="s">
        <v>259</v>
      </c>
      <c r="J113" s="120">
        <v>5500</v>
      </c>
      <c r="K113" s="93"/>
      <c r="N113" s="53"/>
    </row>
    <row r="114" spans="2:22" x14ac:dyDescent="0.25">
      <c r="B114" s="344"/>
      <c r="C114" s="343"/>
      <c r="D114" s="93"/>
      <c r="E114" s="93"/>
      <c r="F114" s="93"/>
      <c r="G114" s="93"/>
      <c r="H114" s="125"/>
      <c r="I114" s="125"/>
      <c r="J114" s="126">
        <f>J112+J113</f>
        <v>40344.827586206899</v>
      </c>
      <c r="K114" s="125"/>
      <c r="N114" s="93"/>
    </row>
    <row r="115" spans="2:22" x14ac:dyDescent="0.25">
      <c r="B115" s="344"/>
      <c r="C115" s="343"/>
      <c r="D115" s="93"/>
      <c r="I115" s="329"/>
      <c r="J115" s="127">
        <v>0.9</v>
      </c>
      <c r="K115" s="128"/>
      <c r="S115" s="129" t="s">
        <v>154</v>
      </c>
      <c r="T115" s="129" t="s">
        <v>155</v>
      </c>
      <c r="U115" s="130" t="s">
        <v>156</v>
      </c>
    </row>
    <row r="116" spans="2:22" ht="18" x14ac:dyDescent="0.25">
      <c r="B116" s="344"/>
      <c r="C116" s="343"/>
      <c r="I116" s="329"/>
      <c r="J116" s="131">
        <f>CEILING(J114/J115,500)</f>
        <v>45000</v>
      </c>
      <c r="K116" s="125"/>
      <c r="R116" s="132" t="str">
        <f>+D86</f>
        <v>BIS</v>
      </c>
      <c r="S116" s="133">
        <f>+L80+G86</f>
        <v>3</v>
      </c>
      <c r="T116" s="134">
        <v>122</v>
      </c>
      <c r="U116" s="92">
        <f>+S116*T116</f>
        <v>366</v>
      </c>
    </row>
    <row r="117" spans="2:22" x14ac:dyDescent="0.25">
      <c r="B117" s="344"/>
      <c r="C117" s="343"/>
      <c r="I117" s="329"/>
      <c r="J117" s="53"/>
      <c r="R117" s="132" t="str">
        <f>+D87</f>
        <v>BIS</v>
      </c>
      <c r="S117" s="133">
        <f>+G87</f>
        <v>6</v>
      </c>
      <c r="T117" s="134">
        <v>122</v>
      </c>
      <c r="U117" s="92">
        <f>+S117*T117</f>
        <v>732</v>
      </c>
    </row>
    <row r="118" spans="2:22" x14ac:dyDescent="0.25">
      <c r="B118" s="26"/>
      <c r="C118" s="458" t="str">
        <f>D4</f>
        <v>M/s PARAMOUNT</v>
      </c>
      <c r="D118" s="458"/>
      <c r="E118" s="458"/>
      <c r="F118" s="458"/>
      <c r="G118" s="491" t="str">
        <f>M2</f>
        <v>R1</v>
      </c>
      <c r="H118" s="494" t="str">
        <f>N2</f>
        <v>02 &amp; 04</v>
      </c>
      <c r="I118" s="473">
        <f>D2</f>
        <v>44530</v>
      </c>
      <c r="J118" s="329"/>
      <c r="K118" s="329"/>
      <c r="S118" s="129"/>
      <c r="T118" s="135"/>
      <c r="U118" s="136">
        <f>SUM(U116:U117)</f>
        <v>1098</v>
      </c>
      <c r="V118" s="113"/>
    </row>
    <row r="119" spans="2:22" x14ac:dyDescent="0.25">
      <c r="B119" s="26"/>
      <c r="C119" s="428" t="str">
        <f>D6</f>
        <v>FUME ABSORBER FOR (SAC)</v>
      </c>
      <c r="D119" s="429"/>
      <c r="E119" s="429"/>
      <c r="F119" s="430"/>
      <c r="G119" s="492"/>
      <c r="H119" s="495"/>
      <c r="I119" s="474"/>
      <c r="J119" s="329"/>
      <c r="K119" s="329"/>
      <c r="S119" s="129"/>
      <c r="T119" s="135"/>
      <c r="U119" s="136"/>
      <c r="V119" s="113"/>
    </row>
    <row r="120" spans="2:22" x14ac:dyDescent="0.25">
      <c r="B120" s="26"/>
      <c r="C120" s="431" t="str">
        <f>D20</f>
        <v>M.O.C- FRP (BISPHENOL)</v>
      </c>
      <c r="D120" s="432"/>
      <c r="E120" s="432"/>
      <c r="F120" s="433"/>
      <c r="G120" s="493"/>
      <c r="H120" s="496"/>
      <c r="I120" s="475"/>
      <c r="J120" s="329"/>
      <c r="K120" s="329"/>
      <c r="S120" s="129"/>
      <c r="T120" s="137">
        <f>+B113</f>
        <v>0</v>
      </c>
      <c r="U120" s="138">
        <f>+C113</f>
        <v>0</v>
      </c>
    </row>
    <row r="121" spans="2:22" ht="20.25" x14ac:dyDescent="0.25">
      <c r="B121" s="26"/>
      <c r="C121" s="319" t="s">
        <v>91</v>
      </c>
      <c r="D121" s="355">
        <f>D5</f>
        <v>2.1205750411731103E-2</v>
      </c>
      <c r="E121" s="320" t="s">
        <v>92</v>
      </c>
      <c r="F121" s="321"/>
      <c r="G121" s="330"/>
      <c r="H121" s="318"/>
      <c r="I121" s="317"/>
      <c r="J121" s="329"/>
      <c r="K121" s="329"/>
      <c r="S121" s="129"/>
      <c r="T121" s="137"/>
      <c r="U121" s="138"/>
    </row>
    <row r="122" spans="2:22" s="327" customFormat="1" ht="17.25" customHeight="1" x14ac:dyDescent="0.25">
      <c r="B122" s="139"/>
      <c r="C122" s="205"/>
      <c r="D122" s="207" t="s">
        <v>154</v>
      </c>
      <c r="E122" s="437" t="s">
        <v>195</v>
      </c>
      <c r="F122" s="438"/>
      <c r="G122" s="208" t="s">
        <v>156</v>
      </c>
      <c r="H122" s="127" t="s">
        <v>159</v>
      </c>
      <c r="I122" s="127" t="s">
        <v>160</v>
      </c>
      <c r="J122" s="6"/>
      <c r="K122" s="6"/>
      <c r="S122" s="140"/>
      <c r="T122" s="141">
        <f>+B116</f>
        <v>0</v>
      </c>
      <c r="U122" s="143">
        <f>+C116</f>
        <v>0</v>
      </c>
      <c r="V122" s="27"/>
    </row>
    <row r="123" spans="2:22" s="327" customFormat="1" ht="17.25" customHeight="1" x14ac:dyDescent="0.25">
      <c r="B123" s="139"/>
      <c r="C123" s="205">
        <f>D22</f>
        <v>0</v>
      </c>
      <c r="D123" s="333">
        <f>CEILING(G85+J80,1)</f>
        <v>3</v>
      </c>
      <c r="E123" s="134">
        <f>'RESIN RATE'!E6</f>
        <v>0</v>
      </c>
      <c r="F123" s="144">
        <f>D123*E123</f>
        <v>0</v>
      </c>
      <c r="G123" s="144">
        <f>F123</f>
        <v>0</v>
      </c>
      <c r="H123" s="334">
        <v>0.5</v>
      </c>
      <c r="I123" s="92">
        <f>G123/H123</f>
        <v>0</v>
      </c>
      <c r="J123" s="6"/>
      <c r="K123" s="6"/>
      <c r="S123" s="140"/>
      <c r="T123" s="141"/>
      <c r="U123" s="143"/>
      <c r="V123" s="27"/>
    </row>
    <row r="124" spans="2:22" ht="17.25" customHeight="1" x14ac:dyDescent="0.25">
      <c r="B124" s="26"/>
      <c r="C124" s="211" t="str">
        <f>D86</f>
        <v>BIS</v>
      </c>
      <c r="D124" s="145">
        <f>G86+G87+G88+M80+K90+K99+K100</f>
        <v>18.288542477876106</v>
      </c>
      <c r="E124" s="134">
        <f>'RESIN RATE'!D6</f>
        <v>325</v>
      </c>
      <c r="F124" s="144">
        <f>+D124*E124</f>
        <v>5943.7763053097342</v>
      </c>
      <c r="G124" s="436">
        <f>SUM(F124:F125)</f>
        <v>5943.7763053097342</v>
      </c>
      <c r="H124" s="435">
        <v>0.4</v>
      </c>
      <c r="I124" s="434">
        <f>G124/H124</f>
        <v>14859.440763274335</v>
      </c>
      <c r="J124" s="329"/>
      <c r="K124" s="329"/>
      <c r="S124" s="129"/>
      <c r="T124" s="135" t="e">
        <f>+#REF!</f>
        <v>#REF!</v>
      </c>
      <c r="U124" s="137" t="e">
        <f>+#REF!</f>
        <v>#REF!</v>
      </c>
      <c r="V124" s="146"/>
    </row>
    <row r="125" spans="2:22" x14ac:dyDescent="0.25">
      <c r="B125" s="147"/>
      <c r="C125" s="211" t="str">
        <f>D88</f>
        <v>BIS</v>
      </c>
      <c r="D125" s="145">
        <v>0</v>
      </c>
      <c r="E125" s="134">
        <f>'RESIN RATE'!D6</f>
        <v>325</v>
      </c>
      <c r="F125" s="144">
        <f t="shared" ref="F125:F127" si="21">+D125*E125</f>
        <v>0</v>
      </c>
      <c r="G125" s="436"/>
      <c r="H125" s="435"/>
      <c r="I125" s="434"/>
      <c r="J125" s="329"/>
      <c r="K125" s="329"/>
      <c r="S125" s="146"/>
      <c r="T125" s="129"/>
      <c r="U125" s="148" t="e">
        <f>+U118+#REF!</f>
        <v>#REF!</v>
      </c>
      <c r="V125" s="146"/>
    </row>
    <row r="126" spans="2:22" x14ac:dyDescent="0.25">
      <c r="B126" s="147"/>
      <c r="C126" s="150" t="s">
        <v>157</v>
      </c>
      <c r="D126" s="145">
        <f>(D124+D125)*0.5</f>
        <v>9.1442712389380532</v>
      </c>
      <c r="E126" s="134">
        <v>198</v>
      </c>
      <c r="F126" s="144">
        <f t="shared" si="21"/>
        <v>1810.5657053097345</v>
      </c>
      <c r="G126" s="436">
        <f>SUM(F126:F127)</f>
        <v>2176.3365548672568</v>
      </c>
      <c r="H126" s="435">
        <v>0.5</v>
      </c>
      <c r="I126" s="434">
        <f>G126/H126</f>
        <v>4352.6731097345137</v>
      </c>
      <c r="J126" s="329"/>
      <c r="K126" s="329"/>
    </row>
    <row r="127" spans="2:22" x14ac:dyDescent="0.25">
      <c r="B127" s="147"/>
      <c r="C127" s="150" t="s">
        <v>158</v>
      </c>
      <c r="D127" s="145">
        <f>+D125+D124</f>
        <v>18.288542477876106</v>
      </c>
      <c r="E127" s="134">
        <v>20</v>
      </c>
      <c r="F127" s="144">
        <f t="shared" si="21"/>
        <v>365.77084955752213</v>
      </c>
      <c r="G127" s="436"/>
      <c r="H127" s="435"/>
      <c r="I127" s="434"/>
      <c r="J127" s="329"/>
      <c r="K127" s="329"/>
    </row>
    <row r="128" spans="2:22" x14ac:dyDescent="0.25">
      <c r="B128" s="147"/>
      <c r="C128" s="339" t="s">
        <v>264</v>
      </c>
      <c r="D128" s="145">
        <v>1</v>
      </c>
      <c r="E128" s="134"/>
      <c r="F128" s="144">
        <f>J89</f>
        <v>0</v>
      </c>
      <c r="G128" s="316">
        <f>F128</f>
        <v>0</v>
      </c>
      <c r="H128" s="338">
        <v>0.6</v>
      </c>
      <c r="I128" s="336">
        <f>G128/H128</f>
        <v>0</v>
      </c>
      <c r="J128" s="329"/>
      <c r="K128" s="329"/>
    </row>
    <row r="129" spans="2:11" x14ac:dyDescent="0.25">
      <c r="B129" s="147"/>
      <c r="C129" s="479" t="s">
        <v>81</v>
      </c>
      <c r="D129" s="198" t="s">
        <v>260</v>
      </c>
      <c r="E129" s="134"/>
      <c r="F129" s="92">
        <f>J92+J94</f>
        <v>1200</v>
      </c>
      <c r="G129" s="482">
        <f>SUM(F129:F137)</f>
        <v>9310</v>
      </c>
      <c r="H129" s="488">
        <v>0.6</v>
      </c>
      <c r="I129" s="485">
        <f>G129/H129</f>
        <v>15516.666666666668</v>
      </c>
      <c r="J129" s="329"/>
      <c r="K129" s="329"/>
    </row>
    <row r="130" spans="2:11" x14ac:dyDescent="0.25">
      <c r="B130" s="147"/>
      <c r="C130" s="480"/>
      <c r="D130" s="198" t="s">
        <v>261</v>
      </c>
      <c r="E130" s="134"/>
      <c r="F130" s="92">
        <f>J93+J95</f>
        <v>1400</v>
      </c>
      <c r="G130" s="483"/>
      <c r="H130" s="489"/>
      <c r="I130" s="486"/>
      <c r="J130" s="329"/>
      <c r="K130" s="329"/>
    </row>
    <row r="131" spans="2:11" x14ac:dyDescent="0.25">
      <c r="B131" s="26"/>
      <c r="C131" s="480"/>
      <c r="D131" s="149" t="s">
        <v>162</v>
      </c>
      <c r="E131" s="134"/>
      <c r="F131" s="92">
        <f>J100</f>
        <v>1560</v>
      </c>
      <c r="G131" s="483"/>
      <c r="H131" s="489"/>
      <c r="I131" s="486"/>
      <c r="J131" s="329"/>
      <c r="K131" s="329"/>
    </row>
    <row r="132" spans="2:11" ht="25.5" x14ac:dyDescent="0.25">
      <c r="B132" s="26"/>
      <c r="C132" s="480"/>
      <c r="D132" s="149" t="s">
        <v>134</v>
      </c>
      <c r="E132" s="134"/>
      <c r="F132" s="92">
        <f>J96</f>
        <v>150</v>
      </c>
      <c r="G132" s="483"/>
      <c r="H132" s="489"/>
      <c r="I132" s="486"/>
      <c r="J132" s="329"/>
      <c r="K132" s="329"/>
    </row>
    <row r="133" spans="2:11" s="374" customFormat="1" x14ac:dyDescent="0.25">
      <c r="B133" s="26"/>
      <c r="C133" s="480"/>
      <c r="D133" s="410" t="s">
        <v>336</v>
      </c>
      <c r="E133" s="134"/>
      <c r="F133" s="92">
        <f>J98</f>
        <v>2000</v>
      </c>
      <c r="G133" s="483"/>
      <c r="H133" s="489"/>
      <c r="I133" s="486"/>
      <c r="J133" s="364"/>
      <c r="K133" s="364"/>
    </row>
    <row r="134" spans="2:11" x14ac:dyDescent="0.25">
      <c r="B134" s="26"/>
      <c r="C134" s="480"/>
      <c r="D134" s="149" t="s">
        <v>84</v>
      </c>
      <c r="E134" s="134"/>
      <c r="F134" s="92">
        <f>J104</f>
        <v>750</v>
      </c>
      <c r="G134" s="483"/>
      <c r="H134" s="489"/>
      <c r="I134" s="486"/>
      <c r="J134" s="329"/>
      <c r="K134" s="329"/>
    </row>
    <row r="135" spans="2:11" x14ac:dyDescent="0.25">
      <c r="B135" s="26"/>
      <c r="C135" s="480"/>
      <c r="D135" s="149" t="s">
        <v>268</v>
      </c>
      <c r="E135" s="134"/>
      <c r="F135" s="92">
        <f>J104</f>
        <v>750</v>
      </c>
      <c r="G135" s="483"/>
      <c r="H135" s="489"/>
      <c r="I135" s="486"/>
      <c r="J135" s="329"/>
      <c r="K135" s="329"/>
    </row>
    <row r="136" spans="2:11" x14ac:dyDescent="0.25">
      <c r="B136" s="26"/>
      <c r="C136" s="480"/>
      <c r="D136" s="149" t="s">
        <v>262</v>
      </c>
      <c r="E136" s="134"/>
      <c r="F136" s="92">
        <f>J105</f>
        <v>1500</v>
      </c>
      <c r="G136" s="483"/>
      <c r="H136" s="489"/>
      <c r="I136" s="486"/>
      <c r="J136" s="329"/>
      <c r="K136" s="329"/>
    </row>
    <row r="137" spans="2:11" ht="15" customHeight="1" x14ac:dyDescent="0.25">
      <c r="C137" s="481"/>
      <c r="D137" s="337" t="s">
        <v>263</v>
      </c>
      <c r="E137" s="337"/>
      <c r="F137" s="92">
        <f>J106</f>
        <v>0</v>
      </c>
      <c r="G137" s="484"/>
      <c r="H137" s="490"/>
      <c r="I137" s="487"/>
      <c r="J137" s="329"/>
      <c r="K137" s="329"/>
    </row>
    <row r="138" spans="2:11" ht="15.75" x14ac:dyDescent="0.25">
      <c r="B138" s="26"/>
      <c r="C138" s="179"/>
      <c r="D138" s="179"/>
      <c r="E138" s="179"/>
      <c r="F138" s="153" t="s">
        <v>57</v>
      </c>
      <c r="G138" s="153">
        <f>SUM(G124:G137)</f>
        <v>17430.112860176989</v>
      </c>
      <c r="H138" s="200">
        <f>G138/I138</f>
        <v>0.49800322457648538</v>
      </c>
      <c r="I138" s="153">
        <f>CEILING(SUM(I123:I137),500)</f>
        <v>35000</v>
      </c>
      <c r="J138" s="146"/>
      <c r="K138" s="329"/>
    </row>
    <row r="139" spans="2:11" x14ac:dyDescent="0.25">
      <c r="B139" s="26"/>
      <c r="C139" s="193" t="s">
        <v>70</v>
      </c>
      <c r="D139" s="194" t="s">
        <v>312</v>
      </c>
      <c r="E139" s="195"/>
      <c r="F139" s="196"/>
      <c r="G139" s="197"/>
      <c r="H139" s="217"/>
      <c r="I139" s="151">
        <v>6500</v>
      </c>
      <c r="J139" s="6"/>
      <c r="K139" s="6"/>
    </row>
    <row r="140" spans="2:11" ht="22.5" customHeight="1" x14ac:dyDescent="0.25">
      <c r="B140" s="155"/>
      <c r="F140" s="152"/>
      <c r="G140" s="152"/>
      <c r="H140" s="218">
        <f>G138/I140</f>
        <v>0.42000271952233709</v>
      </c>
      <c r="I140" s="199">
        <f>I138+I139</f>
        <v>41500</v>
      </c>
      <c r="J140" s="146"/>
      <c r="K140" s="329"/>
    </row>
    <row r="141" spans="2:11" ht="15.75" x14ac:dyDescent="0.25">
      <c r="C141" s="456" t="s">
        <v>164</v>
      </c>
      <c r="D141" s="457">
        <f>G138+I139</f>
        <v>23930.112860176989</v>
      </c>
      <c r="H141" s="142" t="s">
        <v>163</v>
      </c>
      <c r="I141" s="154">
        <v>0.9</v>
      </c>
      <c r="J141" s="146"/>
      <c r="K141" s="329"/>
    </row>
    <row r="142" spans="2:11" ht="18" x14ac:dyDescent="0.25">
      <c r="C142" s="456"/>
      <c r="D142" s="457"/>
      <c r="H142" s="218">
        <f>G138/I142</f>
        <v>0.37484113677799974</v>
      </c>
      <c r="I142" s="156">
        <f>CEILING(I140/I141,500)</f>
        <v>46500</v>
      </c>
      <c r="J142" s="209"/>
      <c r="K142" s="210"/>
    </row>
  </sheetData>
  <sheetProtection selectLockedCells="1"/>
  <autoFilter ref="L84:N115"/>
  <mergeCells count="41">
    <mergeCell ref="M2:M4"/>
    <mergeCell ref="N2:N4"/>
    <mergeCell ref="J5:J7"/>
    <mergeCell ref="L5:L7"/>
    <mergeCell ref="R8:R10"/>
    <mergeCell ref="Z37:AA37"/>
    <mergeCell ref="AB37:AC37"/>
    <mergeCell ref="AD37:AE37"/>
    <mergeCell ref="V58:W58"/>
    <mergeCell ref="F10:G12"/>
    <mergeCell ref="J11:L11"/>
    <mergeCell ref="J12:L12"/>
    <mergeCell ref="J13:L13"/>
    <mergeCell ref="J14:L14"/>
    <mergeCell ref="D21:G21"/>
    <mergeCell ref="H21:H22"/>
    <mergeCell ref="I21:I22"/>
    <mergeCell ref="T8:T10"/>
    <mergeCell ref="I118:I120"/>
    <mergeCell ref="C119:F119"/>
    <mergeCell ref="C120:F120"/>
    <mergeCell ref="V37:W37"/>
    <mergeCell ref="X37:Y37"/>
    <mergeCell ref="D108:E108"/>
    <mergeCell ref="B110:H110"/>
    <mergeCell ref="C118:F118"/>
    <mergeCell ref="G118:G120"/>
    <mergeCell ref="H118:H120"/>
    <mergeCell ref="E122:F122"/>
    <mergeCell ref="G124:G125"/>
    <mergeCell ref="H124:H125"/>
    <mergeCell ref="I124:I125"/>
    <mergeCell ref="G126:G127"/>
    <mergeCell ref="H126:H127"/>
    <mergeCell ref="I126:I127"/>
    <mergeCell ref="C129:C137"/>
    <mergeCell ref="G129:G137"/>
    <mergeCell ref="H129:H137"/>
    <mergeCell ref="I129:I137"/>
    <mergeCell ref="C141:C142"/>
    <mergeCell ref="D141:D142"/>
  </mergeCells>
  <dataValidations count="2">
    <dataValidation type="list" allowBlank="1" showInputMessage="1" showErrorMessage="1" sqref="H61:H78">
      <formula1>$P$60:$P$78</formula1>
    </dataValidation>
    <dataValidation type="list" allowBlank="1" showInputMessage="1" showErrorMessage="1" sqref="H40:H57">
      <formula1>$P$40:$P$57</formula1>
    </dataValidation>
  </dataValidations>
  <printOptions horizontalCentered="1" verticalCentered="1"/>
  <pageMargins left="0.39370078740157483" right="0.19685039370078741" top="0.19685039370078741" bottom="0.19685039370078741" header="0" footer="0"/>
  <pageSetup paperSize="9" scale="5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B1:AE142"/>
  <sheetViews>
    <sheetView view="pageBreakPreview" topLeftCell="A127" zoomScaleNormal="115" zoomScaleSheetLayoutView="100" workbookViewId="0">
      <selection activeCell="O135" sqref="O135"/>
    </sheetView>
  </sheetViews>
  <sheetFormatPr defaultColWidth="9.140625" defaultRowHeight="15" x14ac:dyDescent="0.25"/>
  <cols>
    <col min="1" max="1" width="3.42578125" style="325" customWidth="1"/>
    <col min="2" max="2" width="7.140625" style="325" customWidth="1"/>
    <col min="3" max="3" width="12.5703125" style="325" customWidth="1"/>
    <col min="4" max="4" width="12.85546875" style="325" customWidth="1"/>
    <col min="5" max="5" width="9" style="325" customWidth="1"/>
    <col min="6" max="6" width="13.42578125" style="325" customWidth="1"/>
    <col min="7" max="7" width="13" style="325" customWidth="1"/>
    <col min="8" max="8" width="13.7109375" style="329" customWidth="1"/>
    <col min="9" max="9" width="17.42578125" style="325" customWidth="1"/>
    <col min="10" max="12" width="11.28515625" style="325" customWidth="1"/>
    <col min="13" max="13" width="11" style="325" customWidth="1"/>
    <col min="14" max="14" width="10.7109375" style="325" customWidth="1"/>
    <col min="15" max="15" width="12.7109375" style="325" bestFit="1" customWidth="1"/>
    <col min="16" max="16" width="9.7109375" style="325" bestFit="1" customWidth="1"/>
    <col min="17" max="17" width="9.28515625" style="325" bestFit="1" customWidth="1"/>
    <col min="18" max="18" width="9" style="325" bestFit="1" customWidth="1"/>
    <col min="19" max="19" width="12.28515625" style="325" bestFit="1" customWidth="1"/>
    <col min="20" max="20" width="8" style="325" bestFit="1" customWidth="1"/>
    <col min="21" max="21" width="9.5703125" style="325" customWidth="1"/>
    <col min="22" max="22" width="3.42578125" style="325" bestFit="1" customWidth="1"/>
    <col min="23" max="23" width="4.42578125" style="325" bestFit="1" customWidth="1"/>
    <col min="24" max="24" width="3.42578125" style="325" bestFit="1" customWidth="1"/>
    <col min="25" max="25" width="4.42578125" style="325" bestFit="1" customWidth="1"/>
    <col min="26" max="29" width="6.7109375" style="325" bestFit="1" customWidth="1"/>
    <col min="30" max="30" width="9.7109375" style="325" bestFit="1" customWidth="1"/>
    <col min="31" max="31" width="15.85546875" style="325" bestFit="1" customWidth="1"/>
    <col min="32" max="16384" width="9.140625" style="325"/>
  </cols>
  <sheetData>
    <row r="1" spans="3:20" s="382" customFormat="1" x14ac:dyDescent="0.25">
      <c r="C1" s="5" t="s">
        <v>61</v>
      </c>
      <c r="D1" s="203">
        <f>'01_1.35 KL'!D1</f>
        <v>44551</v>
      </c>
      <c r="E1" s="412" t="s">
        <v>320</v>
      </c>
      <c r="H1" s="383"/>
    </row>
    <row r="2" spans="3:20" ht="15" customHeight="1" x14ac:dyDescent="0.25">
      <c r="C2" s="5" t="s">
        <v>61</v>
      </c>
      <c r="D2" s="203">
        <f>'01_1.35 KL'!D2</f>
        <v>44530</v>
      </c>
      <c r="E2" s="412" t="s">
        <v>335</v>
      </c>
      <c r="F2" s="203"/>
      <c r="G2" s="203"/>
      <c r="I2" s="329"/>
      <c r="J2" s="6"/>
      <c r="K2" s="6"/>
      <c r="L2" s="7"/>
      <c r="M2" s="500" t="str">
        <f>'01_1.35 KL'!M2:M4</f>
        <v>R1</v>
      </c>
      <c r="N2" s="501" t="s">
        <v>277</v>
      </c>
    </row>
    <row r="3" spans="3:20" ht="15.75" customHeight="1" x14ac:dyDescent="0.25">
      <c r="C3" s="5" t="s">
        <v>73</v>
      </c>
      <c r="D3" s="5" t="s">
        <v>231</v>
      </c>
      <c r="E3" s="5"/>
      <c r="F3" s="8"/>
      <c r="G3" s="8"/>
      <c r="H3" s="9"/>
      <c r="I3" s="8"/>
      <c r="J3" s="8"/>
      <c r="K3" s="8"/>
      <c r="L3" s="7"/>
      <c r="M3" s="500"/>
      <c r="N3" s="502"/>
    </row>
    <row r="4" spans="3:20" ht="15.75" customHeight="1" x14ac:dyDescent="0.25">
      <c r="C4" s="5" t="s">
        <v>74</v>
      </c>
      <c r="D4" s="5" t="s">
        <v>232</v>
      </c>
      <c r="E4" s="5"/>
      <c r="F4" s="5"/>
      <c r="G4" s="5"/>
      <c r="H4" s="5"/>
      <c r="I4" s="5"/>
      <c r="J4" s="5"/>
      <c r="K4" s="9"/>
      <c r="L4" s="7"/>
      <c r="M4" s="500"/>
      <c r="N4" s="502"/>
    </row>
    <row r="5" spans="3:20" ht="15.75" customHeight="1" x14ac:dyDescent="0.25">
      <c r="C5" s="5" t="s">
        <v>91</v>
      </c>
      <c r="D5" s="206">
        <f>M11</f>
        <v>0.33929200658769765</v>
      </c>
      <c r="E5" s="6" t="s">
        <v>92</v>
      </c>
      <c r="F5" s="329"/>
      <c r="G5" s="329"/>
      <c r="I5" s="329"/>
      <c r="J5" s="454"/>
      <c r="K5" s="329"/>
      <c r="L5" s="454"/>
      <c r="M5" s="10"/>
    </row>
    <row r="6" spans="3:20" ht="15.75" customHeight="1" x14ac:dyDescent="0.25">
      <c r="C6" s="5" t="s">
        <v>93</v>
      </c>
      <c r="D6" s="5" t="s">
        <v>237</v>
      </c>
      <c r="E6" s="6"/>
      <c r="F6" s="329"/>
      <c r="G6" s="329"/>
      <c r="I6" s="329"/>
      <c r="J6" s="454"/>
      <c r="K6" s="329"/>
      <c r="L6" s="454"/>
      <c r="M6" s="10"/>
      <c r="N6" s="332"/>
      <c r="O6" s="328"/>
    </row>
    <row r="7" spans="3:20" ht="15" customHeight="1" x14ac:dyDescent="0.25">
      <c r="D7" s="178"/>
      <c r="E7" s="5"/>
      <c r="F7" s="5"/>
      <c r="G7" s="5"/>
      <c r="I7" s="329"/>
      <c r="J7" s="455"/>
      <c r="K7" s="329"/>
      <c r="L7" s="455"/>
      <c r="N7" s="7"/>
    </row>
    <row r="8" spans="3:20" x14ac:dyDescent="0.25">
      <c r="D8" s="5"/>
      <c r="J8" s="11"/>
      <c r="K8" s="12"/>
      <c r="L8" s="13"/>
      <c r="R8" s="442"/>
      <c r="S8" s="323"/>
      <c r="T8" s="442"/>
    </row>
    <row r="9" spans="3:20" x14ac:dyDescent="0.25">
      <c r="D9" s="5"/>
      <c r="J9" s="324"/>
      <c r="L9" s="326"/>
      <c r="R9" s="442"/>
      <c r="S9" s="323"/>
      <c r="T9" s="442"/>
    </row>
    <row r="10" spans="3:20" x14ac:dyDescent="0.25">
      <c r="C10" s="14" t="s">
        <v>94</v>
      </c>
      <c r="D10" s="15">
        <f>+J13/1000</f>
        <v>0.6</v>
      </c>
      <c r="E10" s="327"/>
      <c r="F10" s="468" t="s">
        <v>269</v>
      </c>
      <c r="G10" s="468"/>
      <c r="J10" s="324"/>
      <c r="L10" s="326"/>
      <c r="R10" s="442"/>
      <c r="S10" s="323"/>
      <c r="T10" s="442"/>
    </row>
    <row r="11" spans="3:20" x14ac:dyDescent="0.25">
      <c r="C11" s="14" t="s">
        <v>95</v>
      </c>
      <c r="D11" s="15">
        <f>+I13/1000</f>
        <v>1.2</v>
      </c>
      <c r="E11" s="327"/>
      <c r="F11" s="468"/>
      <c r="G11" s="468"/>
      <c r="J11" s="443"/>
      <c r="K11" s="444"/>
      <c r="L11" s="445"/>
      <c r="M11" s="16">
        <f>(PI()/4)*(DIA^2)*HT</f>
        <v>0.33929200658769765</v>
      </c>
    </row>
    <row r="12" spans="3:20" x14ac:dyDescent="0.25">
      <c r="C12" s="17" t="s">
        <v>5</v>
      </c>
      <c r="D12" s="18">
        <v>15</v>
      </c>
      <c r="E12" s="327"/>
      <c r="F12" s="468"/>
      <c r="G12" s="468"/>
      <c r="I12" s="327" t="s">
        <v>95</v>
      </c>
      <c r="J12" s="446" t="s">
        <v>94</v>
      </c>
      <c r="K12" s="447"/>
      <c r="L12" s="448"/>
    </row>
    <row r="13" spans="3:20" x14ac:dyDescent="0.25">
      <c r="C13" s="14" t="s">
        <v>96</v>
      </c>
      <c r="D13" s="19">
        <f>+HT/5</f>
        <v>0.24</v>
      </c>
      <c r="F13" s="327"/>
      <c r="G13" s="327"/>
      <c r="I13" s="20">
        <v>1200</v>
      </c>
      <c r="J13" s="449">
        <v>600</v>
      </c>
      <c r="K13" s="450"/>
      <c r="L13" s="451"/>
    </row>
    <row r="14" spans="3:20" x14ac:dyDescent="0.25">
      <c r="C14" s="14" t="s">
        <v>97</v>
      </c>
      <c r="D14" s="19">
        <f>+HT/5</f>
        <v>0.24</v>
      </c>
      <c r="E14" s="327"/>
      <c r="F14" s="327"/>
      <c r="G14" s="327"/>
      <c r="I14" s="327" t="s">
        <v>98</v>
      </c>
      <c r="J14" s="446" t="s">
        <v>98</v>
      </c>
      <c r="K14" s="447"/>
      <c r="L14" s="448"/>
    </row>
    <row r="15" spans="3:20" x14ac:dyDescent="0.25">
      <c r="C15" s="14" t="s">
        <v>99</v>
      </c>
      <c r="D15" s="19">
        <f>+HT/5</f>
        <v>0.24</v>
      </c>
      <c r="E15" s="327"/>
      <c r="F15" s="327"/>
      <c r="G15" s="327"/>
      <c r="J15" s="324"/>
      <c r="L15" s="326"/>
    </row>
    <row r="16" spans="3:20" x14ac:dyDescent="0.25">
      <c r="C16" s="14" t="s">
        <v>100</v>
      </c>
      <c r="D16" s="19">
        <f>+HT/5</f>
        <v>0.24</v>
      </c>
      <c r="E16" s="327"/>
      <c r="F16" s="327"/>
      <c r="G16" s="327"/>
      <c r="J16" s="21"/>
      <c r="K16" s="22"/>
      <c r="L16" s="23"/>
    </row>
    <row r="17" spans="2:14" x14ac:dyDescent="0.25">
      <c r="C17" s="14" t="s">
        <v>101</v>
      </c>
      <c r="D17" s="19">
        <f>+HT/5</f>
        <v>0.24</v>
      </c>
      <c r="E17" s="327"/>
      <c r="F17" s="327"/>
      <c r="G17" s="327"/>
    </row>
    <row r="18" spans="2:14" x14ac:dyDescent="0.25">
      <c r="C18" s="24" t="s">
        <v>75</v>
      </c>
      <c r="D18" s="25">
        <f>+DIA*1.2+0.1</f>
        <v>0.82</v>
      </c>
      <c r="E18" s="327"/>
      <c r="F18" s="327"/>
      <c r="G18" s="327"/>
    </row>
    <row r="19" spans="2:14" x14ac:dyDescent="0.25">
      <c r="J19" s="26"/>
      <c r="L19" s="26"/>
    </row>
    <row r="20" spans="2:14" ht="17.25" customHeight="1" x14ac:dyDescent="0.25">
      <c r="D20" s="139" t="s">
        <v>323</v>
      </c>
      <c r="J20" s="26"/>
      <c r="L20" s="26"/>
    </row>
    <row r="21" spans="2:14" s="28" customFormat="1" ht="15" customHeight="1" x14ac:dyDescent="0.25">
      <c r="D21" s="462" t="s">
        <v>0</v>
      </c>
      <c r="E21" s="463"/>
      <c r="F21" s="463"/>
      <c r="G21" s="463"/>
      <c r="H21" s="464" t="s">
        <v>1</v>
      </c>
      <c r="I21" s="466" t="s">
        <v>11</v>
      </c>
      <c r="J21" s="331">
        <f>D22</f>
        <v>0</v>
      </c>
      <c r="K21" s="29" t="s">
        <v>2</v>
      </c>
      <c r="L21" s="331" t="str">
        <f>E22</f>
        <v>BIS</v>
      </c>
      <c r="M21" s="331" t="str">
        <f>F22</f>
        <v>BIS</v>
      </c>
      <c r="N21" s="331" t="str">
        <f>G22</f>
        <v>BIS</v>
      </c>
    </row>
    <row r="22" spans="2:14" s="28" customFormat="1" ht="15" customHeight="1" x14ac:dyDescent="0.25">
      <c r="B22" s="30"/>
      <c r="C22" s="31" t="s">
        <v>102</v>
      </c>
      <c r="D22" s="331"/>
      <c r="E22" s="331" t="s">
        <v>319</v>
      </c>
      <c r="F22" s="331" t="s">
        <v>319</v>
      </c>
      <c r="G22" s="331" t="s">
        <v>319</v>
      </c>
      <c r="H22" s="465"/>
      <c r="I22" s="466"/>
      <c r="J22" s="331" t="s">
        <v>77</v>
      </c>
      <c r="K22" s="29" t="s">
        <v>77</v>
      </c>
      <c r="L22" s="331" t="s">
        <v>78</v>
      </c>
      <c r="M22" s="331" t="s">
        <v>78</v>
      </c>
      <c r="N22" s="331" t="s">
        <v>78</v>
      </c>
    </row>
    <row r="23" spans="2:14" x14ac:dyDescent="0.25">
      <c r="B23" s="32"/>
      <c r="C23" s="325">
        <v>8</v>
      </c>
      <c r="D23" s="33"/>
      <c r="E23" s="34">
        <v>3</v>
      </c>
      <c r="F23" s="35">
        <f>C23-E23-G23</f>
        <v>4</v>
      </c>
      <c r="G23" s="34">
        <v>1</v>
      </c>
      <c r="H23" s="36" t="s">
        <v>103</v>
      </c>
      <c r="I23" s="37">
        <v>1</v>
      </c>
      <c r="J23" s="38">
        <f>PI()*DIA*D13*I23</f>
        <v>0.45238934211693022</v>
      </c>
      <c r="K23" s="38">
        <f>PI()*DIA*D13</f>
        <v>0.45238934211693022</v>
      </c>
      <c r="L23" s="39">
        <f>K23*E23*I23</f>
        <v>1.3571680263507906</v>
      </c>
      <c r="M23" s="39">
        <f>K23*F23*I23</f>
        <v>1.8095573684677209</v>
      </c>
      <c r="N23" s="39">
        <f>K23*G23*I23</f>
        <v>0.45238934211693022</v>
      </c>
    </row>
    <row r="24" spans="2:14" x14ac:dyDescent="0.25">
      <c r="B24" s="32"/>
      <c r="C24" s="374">
        <v>8</v>
      </c>
      <c r="D24" s="33"/>
      <c r="E24" s="34">
        <v>3</v>
      </c>
      <c r="F24" s="35">
        <f t="shared" ref="F24:F36" si="0">C24-E24-G24</f>
        <v>4</v>
      </c>
      <c r="G24" s="34">
        <v>1</v>
      </c>
      <c r="H24" s="36" t="s">
        <v>104</v>
      </c>
      <c r="I24" s="37">
        <v>1</v>
      </c>
      <c r="J24" s="38">
        <f>PI()*DIA*B.M.S.H*I24</f>
        <v>0.45238934211693022</v>
      </c>
      <c r="K24" s="38">
        <f>PI()*DIA*B.M.S.H</f>
        <v>0.45238934211693022</v>
      </c>
      <c r="L24" s="39">
        <f t="shared" ref="L24:L30" si="1">K24*E24*I24</f>
        <v>1.3571680263507906</v>
      </c>
      <c r="M24" s="39">
        <f t="shared" ref="M24:M36" si="2">K24*F24*I24</f>
        <v>1.8095573684677209</v>
      </c>
      <c r="N24" s="39">
        <f t="shared" ref="N24:N31" si="3">K24*G24*I24</f>
        <v>0.45238934211693022</v>
      </c>
    </row>
    <row r="25" spans="2:14" x14ac:dyDescent="0.25">
      <c r="B25" s="32"/>
      <c r="C25" s="374">
        <v>8</v>
      </c>
      <c r="D25" s="33"/>
      <c r="E25" s="34">
        <v>3</v>
      </c>
      <c r="F25" s="35">
        <f t="shared" si="0"/>
        <v>4</v>
      </c>
      <c r="G25" s="34">
        <v>1</v>
      </c>
      <c r="H25" s="36" t="s">
        <v>105</v>
      </c>
      <c r="I25" s="37">
        <v>1</v>
      </c>
      <c r="J25" s="38">
        <f>PI()*DIA*M.S.H*I25</f>
        <v>0.45238934211693022</v>
      </c>
      <c r="K25" s="38">
        <f>PI()*DIA*M.S.H</f>
        <v>0.45238934211693022</v>
      </c>
      <c r="L25" s="39">
        <f t="shared" si="1"/>
        <v>1.3571680263507906</v>
      </c>
      <c r="M25" s="39">
        <f t="shared" si="2"/>
        <v>1.8095573684677209</v>
      </c>
      <c r="N25" s="39">
        <f t="shared" si="3"/>
        <v>0.45238934211693022</v>
      </c>
    </row>
    <row r="26" spans="2:14" x14ac:dyDescent="0.25">
      <c r="B26" s="32"/>
      <c r="C26" s="374">
        <v>8</v>
      </c>
      <c r="D26" s="33"/>
      <c r="E26" s="34">
        <v>3</v>
      </c>
      <c r="F26" s="35">
        <f t="shared" si="0"/>
        <v>4</v>
      </c>
      <c r="G26" s="34">
        <v>1</v>
      </c>
      <c r="H26" s="36" t="s">
        <v>106</v>
      </c>
      <c r="I26" s="37">
        <v>1</v>
      </c>
      <c r="J26" s="38">
        <f>PI()*DIA*T.M.S.H*I26</f>
        <v>0.45238934211693022</v>
      </c>
      <c r="K26" s="38">
        <f>PI()*DIA*T.M.S.H</f>
        <v>0.45238934211693022</v>
      </c>
      <c r="L26" s="39">
        <f t="shared" si="1"/>
        <v>1.3571680263507906</v>
      </c>
      <c r="M26" s="39">
        <f t="shared" si="2"/>
        <v>1.8095573684677209</v>
      </c>
      <c r="N26" s="39">
        <f t="shared" si="3"/>
        <v>0.45238934211693022</v>
      </c>
    </row>
    <row r="27" spans="2:14" x14ac:dyDescent="0.25">
      <c r="B27" s="32"/>
      <c r="C27" s="374">
        <v>8</v>
      </c>
      <c r="D27" s="33"/>
      <c r="E27" s="34">
        <v>3</v>
      </c>
      <c r="F27" s="35">
        <f t="shared" si="0"/>
        <v>4</v>
      </c>
      <c r="G27" s="34">
        <v>1</v>
      </c>
      <c r="H27" s="36" t="s">
        <v>107</v>
      </c>
      <c r="I27" s="37">
        <v>1</v>
      </c>
      <c r="J27" s="38">
        <f>PI()*DIA*T.S.H*I27</f>
        <v>0.45238934211693022</v>
      </c>
      <c r="K27" s="38">
        <f>PI()*DIA*T.S.H</f>
        <v>0.45238934211693022</v>
      </c>
      <c r="L27" s="39">
        <f t="shared" si="1"/>
        <v>1.3571680263507906</v>
      </c>
      <c r="M27" s="39">
        <f t="shared" si="2"/>
        <v>1.8095573684677209</v>
      </c>
      <c r="N27" s="39">
        <f t="shared" si="3"/>
        <v>0.45238934211693022</v>
      </c>
    </row>
    <row r="28" spans="2:14" hidden="1" x14ac:dyDescent="0.25">
      <c r="B28" s="32"/>
      <c r="C28" s="374">
        <v>8</v>
      </c>
      <c r="D28" s="33"/>
      <c r="E28" s="40">
        <v>0</v>
      </c>
      <c r="F28" s="40">
        <v>0</v>
      </c>
      <c r="G28" s="40">
        <v>0</v>
      </c>
      <c r="H28" s="41" t="s">
        <v>108</v>
      </c>
      <c r="I28" s="42">
        <v>1</v>
      </c>
      <c r="J28" s="43">
        <f>((DIA^2)/(COS(ANGLE*PI()/180)))*I28</f>
        <v>0.37269942494762986</v>
      </c>
      <c r="K28" s="43">
        <f>PI()/4*((DIA^2)/(COS(ANGLE*PI()/180)))</f>
        <v>0.29271744385315362</v>
      </c>
      <c r="L28" s="39">
        <f t="shared" si="1"/>
        <v>0</v>
      </c>
      <c r="M28" s="39">
        <f t="shared" si="2"/>
        <v>0</v>
      </c>
      <c r="N28" s="39">
        <f t="shared" si="3"/>
        <v>0</v>
      </c>
    </row>
    <row r="29" spans="2:14" x14ac:dyDescent="0.25">
      <c r="B29" s="32"/>
      <c r="C29" s="374">
        <v>8</v>
      </c>
      <c r="D29" s="33"/>
      <c r="E29" s="34">
        <v>3</v>
      </c>
      <c r="F29" s="35">
        <f t="shared" si="0"/>
        <v>4</v>
      </c>
      <c r="G29" s="34">
        <v>1</v>
      </c>
      <c r="H29" s="36" t="s">
        <v>109</v>
      </c>
      <c r="I29" s="37">
        <v>1</v>
      </c>
      <c r="J29" s="38">
        <f>(DIA^2)*I29</f>
        <v>0.36</v>
      </c>
      <c r="K29" s="38">
        <f>(PI()/4)*(DIA^2)</f>
        <v>0.28274333882308139</v>
      </c>
      <c r="L29" s="39">
        <f>K29*E29*I29</f>
        <v>0.84823001646924423</v>
      </c>
      <c r="M29" s="39">
        <f t="shared" si="2"/>
        <v>1.1309733552923256</v>
      </c>
      <c r="N29" s="39">
        <f t="shared" si="3"/>
        <v>0.28274333882308139</v>
      </c>
    </row>
    <row r="30" spans="2:14" x14ac:dyDescent="0.25">
      <c r="B30" s="32"/>
      <c r="C30" s="325">
        <v>15</v>
      </c>
      <c r="D30" s="33"/>
      <c r="E30" s="34">
        <v>3</v>
      </c>
      <c r="F30" s="35">
        <f t="shared" si="0"/>
        <v>11</v>
      </c>
      <c r="G30" s="34">
        <v>1</v>
      </c>
      <c r="H30" s="36" t="s">
        <v>110</v>
      </c>
      <c r="I30" s="37">
        <v>1</v>
      </c>
      <c r="J30" s="44">
        <f>((DIA+0.2)^2)*I30</f>
        <v>0.64000000000000012</v>
      </c>
      <c r="K30" s="44">
        <f>((PI()/4)*((DIA+0.2)^2-DIA^2))</f>
        <v>0.21991148575128563</v>
      </c>
      <c r="L30" s="39">
        <f t="shared" si="1"/>
        <v>0.65973445725385693</v>
      </c>
      <c r="M30" s="39">
        <f t="shared" si="2"/>
        <v>2.4190263432641421</v>
      </c>
      <c r="N30" s="39">
        <f t="shared" si="3"/>
        <v>0.21991148575128563</v>
      </c>
    </row>
    <row r="31" spans="2:14" x14ac:dyDescent="0.25">
      <c r="B31" s="32"/>
      <c r="C31" s="325">
        <v>15</v>
      </c>
      <c r="D31" s="33"/>
      <c r="E31" s="34">
        <v>3</v>
      </c>
      <c r="F31" s="35">
        <f t="shared" si="0"/>
        <v>11</v>
      </c>
      <c r="G31" s="34">
        <v>1</v>
      </c>
      <c r="H31" s="36" t="s">
        <v>76</v>
      </c>
      <c r="I31" s="37">
        <v>1</v>
      </c>
      <c r="J31" s="44">
        <f>((DIA+0.2)^2)*I31</f>
        <v>0.64000000000000012</v>
      </c>
      <c r="K31" s="44">
        <f>((PI()/4)*((DIA+0.2)^2))</f>
        <v>0.50265482457436694</v>
      </c>
      <c r="L31" s="39">
        <f>K31*E31*I31</f>
        <v>1.5079644737231008</v>
      </c>
      <c r="M31" s="39">
        <f t="shared" si="2"/>
        <v>5.5292030703180366</v>
      </c>
      <c r="N31" s="39">
        <f t="shared" si="3"/>
        <v>0.50265482457436694</v>
      </c>
    </row>
    <row r="32" spans="2:14" x14ac:dyDescent="0.25">
      <c r="B32" s="45"/>
      <c r="C32" s="325">
        <f>CEILING((C31+C23)*0.5,1)</f>
        <v>12</v>
      </c>
      <c r="D32" s="46"/>
      <c r="E32" s="46"/>
      <c r="F32" s="35">
        <f t="shared" si="0"/>
        <v>12</v>
      </c>
      <c r="G32" s="46"/>
      <c r="H32" s="36" t="s">
        <v>111</v>
      </c>
      <c r="I32" s="37">
        <v>1</v>
      </c>
      <c r="J32" s="46"/>
      <c r="K32" s="38">
        <f>PI()*DIA*(2*2*SQRT(DIA*((C32)/1000/2)))</f>
        <v>0.45238934211693022</v>
      </c>
      <c r="L32" s="46"/>
      <c r="M32" s="39">
        <f t="shared" si="2"/>
        <v>5.4286721054031624</v>
      </c>
      <c r="N32" s="46"/>
    </row>
    <row r="33" spans="2:31" x14ac:dyDescent="0.25">
      <c r="B33" s="45"/>
      <c r="C33" s="325">
        <f>CEILING((C31+C27)*0.5,1)</f>
        <v>12</v>
      </c>
      <c r="D33" s="46"/>
      <c r="E33" s="46"/>
      <c r="F33" s="35">
        <f t="shared" si="0"/>
        <v>12</v>
      </c>
      <c r="G33" s="46"/>
      <c r="H33" s="36" t="s">
        <v>112</v>
      </c>
      <c r="I33" s="37">
        <v>1</v>
      </c>
      <c r="J33" s="46"/>
      <c r="K33" s="38">
        <f>PI()*DIA*(2*2*SQRT(DIA*((C33)/1000/2)))</f>
        <v>0.45238934211693022</v>
      </c>
      <c r="L33" s="46"/>
      <c r="M33" s="39">
        <f t="shared" si="2"/>
        <v>5.4286721054031624</v>
      </c>
      <c r="N33" s="46"/>
    </row>
    <row r="34" spans="2:31" hidden="1" x14ac:dyDescent="0.25">
      <c r="B34" s="45"/>
      <c r="C34" s="40">
        <v>0</v>
      </c>
      <c r="D34" s="47"/>
      <c r="E34" s="47"/>
      <c r="F34" s="42">
        <f t="shared" si="0"/>
        <v>0</v>
      </c>
      <c r="G34" s="47"/>
      <c r="H34" s="41" t="s">
        <v>113</v>
      </c>
      <c r="I34" s="42">
        <v>1</v>
      </c>
      <c r="J34" s="47"/>
      <c r="K34" s="48">
        <f>PI()*DIA*0.45</f>
        <v>0.84823001646924412</v>
      </c>
      <c r="L34" s="47"/>
      <c r="M34" s="39">
        <f t="shared" si="2"/>
        <v>0</v>
      </c>
      <c r="N34" s="46"/>
    </row>
    <row r="35" spans="2:31" hidden="1" x14ac:dyDescent="0.25">
      <c r="B35" s="16"/>
      <c r="C35" s="325">
        <v>0</v>
      </c>
      <c r="D35" s="46"/>
      <c r="E35" s="46"/>
      <c r="F35" s="35">
        <f t="shared" si="0"/>
        <v>0</v>
      </c>
      <c r="G35" s="46"/>
      <c r="H35" s="36" t="s">
        <v>114</v>
      </c>
      <c r="I35" s="37">
        <v>0</v>
      </c>
      <c r="J35" s="46"/>
      <c r="K35" s="38">
        <f>(DIA)/(COS(ANGLE*PI()/180))*((50+75+75+75+50)/1000)</f>
        <v>0.20187885517996618</v>
      </c>
      <c r="L35" s="46"/>
      <c r="M35" s="39">
        <f t="shared" si="2"/>
        <v>0</v>
      </c>
      <c r="N35" s="46"/>
    </row>
    <row r="36" spans="2:31" hidden="1" x14ac:dyDescent="0.25">
      <c r="B36" s="16"/>
      <c r="C36" s="49">
        <v>0</v>
      </c>
      <c r="D36" s="46"/>
      <c r="E36" s="46"/>
      <c r="F36" s="50">
        <f t="shared" si="0"/>
        <v>0</v>
      </c>
      <c r="G36" s="46"/>
      <c r="H36" s="51" t="s">
        <v>115</v>
      </c>
      <c r="I36" s="50">
        <v>0</v>
      </c>
      <c r="J36" s="46"/>
      <c r="K36" s="52">
        <f>PI()*DIA*0.4</f>
        <v>0.75398223686155041</v>
      </c>
      <c r="L36" s="46"/>
      <c r="M36" s="39">
        <f t="shared" si="2"/>
        <v>0</v>
      </c>
      <c r="N36" s="46"/>
    </row>
    <row r="37" spans="2:31" x14ac:dyDescent="0.25">
      <c r="C37" s="53"/>
      <c r="P37" s="54"/>
      <c r="Q37" s="54"/>
      <c r="R37" s="54"/>
      <c r="S37" s="54"/>
      <c r="T37" s="54"/>
      <c r="U37" s="54"/>
      <c r="V37" s="439" t="s">
        <v>52</v>
      </c>
      <c r="W37" s="440"/>
      <c r="X37" s="439" t="s">
        <v>53</v>
      </c>
      <c r="Y37" s="440"/>
      <c r="Z37" s="439" t="s">
        <v>54</v>
      </c>
      <c r="AA37" s="440"/>
      <c r="AB37" s="439" t="s">
        <v>55</v>
      </c>
      <c r="AC37" s="440"/>
      <c r="AD37" s="439" t="s">
        <v>57</v>
      </c>
      <c r="AE37" s="440"/>
    </row>
    <row r="38" spans="2:31" hidden="1" x14ac:dyDescent="0.25">
      <c r="P38" s="54"/>
      <c r="Q38" s="54" t="s">
        <v>7</v>
      </c>
      <c r="R38" s="54" t="s">
        <v>6</v>
      </c>
      <c r="S38" s="54" t="s">
        <v>9</v>
      </c>
      <c r="T38" s="54" t="s">
        <v>10</v>
      </c>
      <c r="U38" s="54" t="s">
        <v>8</v>
      </c>
      <c r="V38" s="54" t="s">
        <v>4</v>
      </c>
      <c r="W38" s="54" t="s">
        <v>3</v>
      </c>
      <c r="X38" s="54" t="s">
        <v>4</v>
      </c>
      <c r="Y38" s="54" t="s">
        <v>3</v>
      </c>
      <c r="Z38" s="54" t="s">
        <v>56</v>
      </c>
      <c r="AA38" s="54" t="s">
        <v>3</v>
      </c>
      <c r="AB38" s="54" t="s">
        <v>4</v>
      </c>
      <c r="AC38" s="54" t="s">
        <v>3</v>
      </c>
      <c r="AD38" s="54" t="s">
        <v>59</v>
      </c>
      <c r="AE38" s="54" t="s">
        <v>58</v>
      </c>
    </row>
    <row r="39" spans="2:31" hidden="1" x14ac:dyDescent="0.25">
      <c r="P39" s="54" t="s">
        <v>29</v>
      </c>
      <c r="Q39" s="54" t="s">
        <v>29</v>
      </c>
      <c r="R39" s="54">
        <v>0</v>
      </c>
      <c r="S39" s="54">
        <v>0</v>
      </c>
      <c r="T39" s="54">
        <v>0</v>
      </c>
      <c r="U39" s="55">
        <f t="shared" ref="U39:U57" si="4">((PI()/4)*(T39^2-R39^2))+(PI()*R39*S39)</f>
        <v>0</v>
      </c>
      <c r="V39" s="54">
        <v>5</v>
      </c>
      <c r="W39" s="54">
        <v>12</v>
      </c>
      <c r="X39" s="54">
        <v>5</v>
      </c>
      <c r="Y39" s="54">
        <v>5</v>
      </c>
      <c r="Z39" s="55">
        <f t="shared" ref="Z39:Z57" si="5">(T39^2)*CEILING(V39/4,1)</f>
        <v>0</v>
      </c>
      <c r="AA39" s="55">
        <f t="shared" ref="AA39:AA57" si="6">((PI()/4)*(T39^2-R39^2))*W39</f>
        <v>0</v>
      </c>
      <c r="AB39" s="55">
        <f t="shared" ref="AB39:AB57" si="7">+(PI()*R39*S39)*CEILING(X39/3,1)</f>
        <v>0</v>
      </c>
      <c r="AC39" s="55">
        <f t="shared" ref="AC39:AC57" si="8">+(PI()*R39*S39)*Y39</f>
        <v>0</v>
      </c>
      <c r="AD39" s="55">
        <f t="shared" ref="AD39:AE57" si="9">+Z39+AB39</f>
        <v>0</v>
      </c>
      <c r="AE39" s="55">
        <f t="shared" si="9"/>
        <v>0</v>
      </c>
    </row>
    <row r="40" spans="2:31" x14ac:dyDescent="0.25">
      <c r="D40" s="46"/>
      <c r="E40" s="46"/>
      <c r="F40" s="46"/>
      <c r="G40" s="46"/>
      <c r="H40" s="56" t="s">
        <v>24</v>
      </c>
      <c r="I40" s="37">
        <v>4</v>
      </c>
      <c r="J40" s="38">
        <f t="shared" ref="J40:J57" si="10">LOOKUP(H40,NOZZLE1,PP_AREA)*I40</f>
        <v>0.27982844737231005</v>
      </c>
      <c r="K40" s="39"/>
      <c r="L40" s="216">
        <v>1.39</v>
      </c>
      <c r="M40" s="179">
        <f>L40*I40</f>
        <v>5.56</v>
      </c>
      <c r="P40" s="54" t="s">
        <v>22</v>
      </c>
      <c r="Q40" s="54" t="s">
        <v>22</v>
      </c>
      <c r="R40" s="54">
        <v>1.4999999999999999E-2</v>
      </c>
      <c r="S40" s="54">
        <v>0.15</v>
      </c>
      <c r="T40" s="54">
        <v>8.8999999999999996E-2</v>
      </c>
      <c r="U40" s="55">
        <f t="shared" si="4"/>
        <v>1.3113007736083794E-2</v>
      </c>
      <c r="V40" s="54">
        <v>5</v>
      </c>
      <c r="W40" s="54">
        <v>12</v>
      </c>
      <c r="X40" s="54">
        <v>5</v>
      </c>
      <c r="Y40" s="54">
        <v>5</v>
      </c>
      <c r="Z40" s="55">
        <f t="shared" si="5"/>
        <v>1.5841999999999998E-2</v>
      </c>
      <c r="AA40" s="55">
        <f t="shared" si="6"/>
        <v>7.2533091186081131E-2</v>
      </c>
      <c r="AB40" s="55">
        <f t="shared" si="7"/>
        <v>1.4137166941154067E-2</v>
      </c>
      <c r="AC40" s="55">
        <f t="shared" si="8"/>
        <v>3.5342917352885167E-2</v>
      </c>
      <c r="AD40" s="55">
        <f t="shared" si="9"/>
        <v>2.9979166941154066E-2</v>
      </c>
      <c r="AE40" s="55">
        <f t="shared" si="9"/>
        <v>0.1078760085389663</v>
      </c>
    </row>
    <row r="41" spans="2:31" x14ac:dyDescent="0.25">
      <c r="D41" s="46"/>
      <c r="E41" s="46"/>
      <c r="F41" s="46"/>
      <c r="G41" s="46"/>
      <c r="H41" s="56" t="s">
        <v>25</v>
      </c>
      <c r="I41" s="37">
        <v>2</v>
      </c>
      <c r="J41" s="38">
        <f t="shared" si="10"/>
        <v>0.18666377960769379</v>
      </c>
      <c r="K41" s="39"/>
      <c r="L41" s="216">
        <v>1.7</v>
      </c>
      <c r="M41" s="179">
        <f>L41*I41</f>
        <v>3.4</v>
      </c>
      <c r="P41" s="54" t="s">
        <v>23</v>
      </c>
      <c r="Q41" s="54" t="s">
        <v>23</v>
      </c>
      <c r="R41" s="54">
        <v>0.02</v>
      </c>
      <c r="S41" s="54">
        <v>0.15</v>
      </c>
      <c r="T41" s="54">
        <v>9.8000000000000004E-2</v>
      </c>
      <c r="U41" s="55">
        <f t="shared" si="4"/>
        <v>1.6653582656679496E-2</v>
      </c>
      <c r="V41" s="54">
        <v>5</v>
      </c>
      <c r="W41" s="54">
        <v>12</v>
      </c>
      <c r="X41" s="54">
        <v>5</v>
      </c>
      <c r="Y41" s="54">
        <v>5</v>
      </c>
      <c r="Z41" s="55">
        <f t="shared" si="5"/>
        <v>1.9208000000000003E-2</v>
      </c>
      <c r="AA41" s="55">
        <f t="shared" si="6"/>
        <v>8.674565635092138E-2</v>
      </c>
      <c r="AB41" s="55">
        <f t="shared" si="7"/>
        <v>1.8849555921538759E-2</v>
      </c>
      <c r="AC41" s="55">
        <f t="shared" si="8"/>
        <v>4.7123889803846894E-2</v>
      </c>
      <c r="AD41" s="55">
        <f t="shared" si="9"/>
        <v>3.8057555921538762E-2</v>
      </c>
      <c r="AE41" s="55">
        <f t="shared" si="9"/>
        <v>0.13386954615476826</v>
      </c>
    </row>
    <row r="42" spans="2:31" x14ac:dyDescent="0.25">
      <c r="D42" s="46"/>
      <c r="E42" s="46"/>
      <c r="F42" s="46"/>
      <c r="G42" s="46"/>
      <c r="H42" s="56" t="s">
        <v>30</v>
      </c>
      <c r="I42" s="37">
        <v>2</v>
      </c>
      <c r="J42" s="38">
        <f t="shared" si="10"/>
        <v>0.39825955921538758</v>
      </c>
      <c r="K42" s="39"/>
      <c r="L42" s="216">
        <v>1.9</v>
      </c>
      <c r="M42" s="179">
        <f t="shared" ref="M42:M44" si="11">L42*I42</f>
        <v>3.8</v>
      </c>
      <c r="P42" s="54" t="s">
        <v>28</v>
      </c>
      <c r="Q42" s="54" t="s">
        <v>28</v>
      </c>
      <c r="R42" s="54">
        <v>2.5000000000000001E-2</v>
      </c>
      <c r="S42" s="54">
        <v>0.15</v>
      </c>
      <c r="T42" s="54">
        <v>0.108</v>
      </c>
      <c r="U42" s="55">
        <f t="shared" si="4"/>
        <v>2.0450982776706154E-2</v>
      </c>
      <c r="V42" s="54">
        <v>5</v>
      </c>
      <c r="W42" s="54">
        <v>12</v>
      </c>
      <c r="X42" s="54">
        <v>5</v>
      </c>
      <c r="Y42" s="54">
        <v>5</v>
      </c>
      <c r="Z42" s="55">
        <f t="shared" si="5"/>
        <v>2.3327999999999998E-2</v>
      </c>
      <c r="AA42" s="55">
        <f t="shared" si="6"/>
        <v>0.10404012390893316</v>
      </c>
      <c r="AB42" s="55">
        <f t="shared" si="7"/>
        <v>2.3561944901923447E-2</v>
      </c>
      <c r="AC42" s="55">
        <f t="shared" si="8"/>
        <v>5.8904862254808621E-2</v>
      </c>
      <c r="AD42" s="55">
        <f t="shared" si="9"/>
        <v>4.6889944901923442E-2</v>
      </c>
      <c r="AE42" s="55">
        <f t="shared" si="9"/>
        <v>0.16294498616374178</v>
      </c>
    </row>
    <row r="43" spans="2:31" hidden="1" x14ac:dyDescent="0.25">
      <c r="D43" s="46"/>
      <c r="E43" s="46"/>
      <c r="F43" s="46"/>
      <c r="G43" s="46"/>
      <c r="H43" s="56" t="s">
        <v>30</v>
      </c>
      <c r="I43" s="37">
        <v>0</v>
      </c>
      <c r="J43" s="38">
        <f t="shared" si="10"/>
        <v>0</v>
      </c>
      <c r="K43" s="39"/>
      <c r="L43" s="57">
        <v>1.55</v>
      </c>
      <c r="M43" s="325">
        <f t="shared" si="11"/>
        <v>0</v>
      </c>
      <c r="P43" s="54" t="s">
        <v>24</v>
      </c>
      <c r="Q43" s="54" t="s">
        <v>24</v>
      </c>
      <c r="R43" s="54">
        <v>0.04</v>
      </c>
      <c r="S43" s="54">
        <v>0.15</v>
      </c>
      <c r="T43" s="54">
        <v>0.127</v>
      </c>
      <c r="U43" s="55">
        <f t="shared" si="4"/>
        <v>3.0260605837540283E-2</v>
      </c>
      <c r="V43" s="54">
        <v>5</v>
      </c>
      <c r="W43" s="54">
        <v>15</v>
      </c>
      <c r="X43" s="54">
        <v>5</v>
      </c>
      <c r="Y43" s="54">
        <v>6</v>
      </c>
      <c r="Z43" s="55">
        <f t="shared" si="5"/>
        <v>3.2258000000000002E-2</v>
      </c>
      <c r="AA43" s="55">
        <f t="shared" si="6"/>
        <v>0.17116574874002288</v>
      </c>
      <c r="AB43" s="55">
        <f t="shared" si="7"/>
        <v>3.7699111843077518E-2</v>
      </c>
      <c r="AC43" s="55">
        <f t="shared" si="8"/>
        <v>0.11309733552923255</v>
      </c>
      <c r="AD43" s="55">
        <f t="shared" si="9"/>
        <v>6.9957111843077513E-2</v>
      </c>
      <c r="AE43" s="55">
        <f t="shared" si="9"/>
        <v>0.28426308426925545</v>
      </c>
    </row>
    <row r="44" spans="2:31" ht="18.75" hidden="1" customHeight="1" x14ac:dyDescent="0.25">
      <c r="D44" s="46"/>
      <c r="E44" s="46"/>
      <c r="F44" s="46"/>
      <c r="G44" s="46"/>
      <c r="H44" s="56" t="s">
        <v>19</v>
      </c>
      <c r="I44" s="37">
        <v>0</v>
      </c>
      <c r="J44" s="38">
        <f t="shared" si="10"/>
        <v>0</v>
      </c>
      <c r="K44" s="39"/>
      <c r="L44" s="57">
        <v>7.34</v>
      </c>
      <c r="M44" s="325">
        <f t="shared" si="11"/>
        <v>0</v>
      </c>
      <c r="P44" s="54" t="s">
        <v>25</v>
      </c>
      <c r="Q44" s="54" t="s">
        <v>25</v>
      </c>
      <c r="R44" s="54">
        <v>0.05</v>
      </c>
      <c r="S44" s="54">
        <v>0.15</v>
      </c>
      <c r="T44" s="54">
        <v>0.152</v>
      </c>
      <c r="U44" s="55">
        <f t="shared" si="4"/>
        <v>3.9744288660564467E-2</v>
      </c>
      <c r="V44" s="54">
        <v>5</v>
      </c>
      <c r="W44" s="54">
        <v>15</v>
      </c>
      <c r="X44" s="54">
        <v>5</v>
      </c>
      <c r="Y44" s="54">
        <v>6</v>
      </c>
      <c r="Z44" s="55">
        <f t="shared" si="5"/>
        <v>4.6207999999999999E-2</v>
      </c>
      <c r="AA44" s="55">
        <f t="shared" si="6"/>
        <v>0.24273515637961535</v>
      </c>
      <c r="AB44" s="55">
        <f t="shared" si="7"/>
        <v>4.7123889803846894E-2</v>
      </c>
      <c r="AC44" s="55">
        <f t="shared" si="8"/>
        <v>0.14137166941154067</v>
      </c>
      <c r="AD44" s="55">
        <f t="shared" si="9"/>
        <v>9.3331889803846893E-2</v>
      </c>
      <c r="AE44" s="55">
        <f t="shared" si="9"/>
        <v>0.38410682579115601</v>
      </c>
    </row>
    <row r="45" spans="2:31" hidden="1" x14ac:dyDescent="0.25">
      <c r="D45" s="46"/>
      <c r="E45" s="46"/>
      <c r="F45" s="46"/>
      <c r="G45" s="46"/>
      <c r="H45" s="56" t="s">
        <v>20</v>
      </c>
      <c r="I45" s="37">
        <v>0</v>
      </c>
      <c r="J45" s="38">
        <f t="shared" si="10"/>
        <v>0</v>
      </c>
      <c r="K45" s="39"/>
      <c r="L45" s="58"/>
      <c r="M45" s="325" t="s">
        <v>116</v>
      </c>
      <c r="P45" s="54" t="s">
        <v>26</v>
      </c>
      <c r="Q45" s="54" t="s">
        <v>26</v>
      </c>
      <c r="R45" s="54">
        <v>6.5000000000000002E-2</v>
      </c>
      <c r="S45" s="54">
        <v>0.15</v>
      </c>
      <c r="T45" s="54">
        <v>0.17799999999999999</v>
      </c>
      <c r="U45" s="55">
        <f t="shared" si="4"/>
        <v>5.2196776541231012E-2</v>
      </c>
      <c r="V45" s="54">
        <v>5</v>
      </c>
      <c r="W45" s="54">
        <v>18</v>
      </c>
      <c r="X45" s="54">
        <v>5</v>
      </c>
      <c r="Y45" s="54">
        <v>6</v>
      </c>
      <c r="Z45" s="55">
        <f t="shared" si="5"/>
        <v>6.3367999999999994E-2</v>
      </c>
      <c r="AA45" s="55">
        <f t="shared" si="6"/>
        <v>0.38819246703714955</v>
      </c>
      <c r="AB45" s="55">
        <f t="shared" si="7"/>
        <v>6.1261056745000965E-2</v>
      </c>
      <c r="AC45" s="55">
        <f t="shared" si="8"/>
        <v>0.1837831702350029</v>
      </c>
      <c r="AD45" s="55">
        <f t="shared" si="9"/>
        <v>0.12462905674500097</v>
      </c>
      <c r="AE45" s="55">
        <f t="shared" si="9"/>
        <v>0.5719756372721525</v>
      </c>
    </row>
    <row r="46" spans="2:31" hidden="1" x14ac:dyDescent="0.25">
      <c r="D46" s="46"/>
      <c r="E46" s="46"/>
      <c r="F46" s="46"/>
      <c r="G46" s="46"/>
      <c r="H46" s="56" t="s">
        <v>21</v>
      </c>
      <c r="I46" s="37">
        <v>0</v>
      </c>
      <c r="J46" s="38">
        <f t="shared" si="10"/>
        <v>0</v>
      </c>
      <c r="K46" s="39"/>
      <c r="L46" s="58"/>
      <c r="P46" s="54" t="s">
        <v>27</v>
      </c>
      <c r="Q46" s="54" t="s">
        <v>27</v>
      </c>
      <c r="R46" s="54">
        <v>0.08</v>
      </c>
      <c r="S46" s="54">
        <v>0.15</v>
      </c>
      <c r="T46" s="54">
        <v>0.191</v>
      </c>
      <c r="U46" s="55">
        <f t="shared" si="4"/>
        <v>6.1324673996236159E-2</v>
      </c>
      <c r="V46" s="54">
        <v>5</v>
      </c>
      <c r="W46" s="54">
        <v>18</v>
      </c>
      <c r="X46" s="54">
        <v>5</v>
      </c>
      <c r="Y46" s="54">
        <v>7</v>
      </c>
      <c r="Z46" s="55">
        <f t="shared" si="5"/>
        <v>7.2961999999999999E-2</v>
      </c>
      <c r="AA46" s="55">
        <f t="shared" si="6"/>
        <v>0.42526011875685554</v>
      </c>
      <c r="AB46" s="55">
        <f t="shared" si="7"/>
        <v>7.5398223686155036E-2</v>
      </c>
      <c r="AC46" s="55">
        <f t="shared" si="8"/>
        <v>0.26389378290154264</v>
      </c>
      <c r="AD46" s="55">
        <f t="shared" si="9"/>
        <v>0.14836022368615503</v>
      </c>
      <c r="AE46" s="55">
        <f t="shared" si="9"/>
        <v>0.68915390165839818</v>
      </c>
    </row>
    <row r="47" spans="2:31" hidden="1" x14ac:dyDescent="0.25">
      <c r="D47" s="46"/>
      <c r="E47" s="46"/>
      <c r="F47" s="46"/>
      <c r="G47" s="46"/>
      <c r="H47" s="56" t="s">
        <v>21</v>
      </c>
      <c r="I47" s="37">
        <v>0</v>
      </c>
      <c r="J47" s="38">
        <f t="shared" si="10"/>
        <v>0</v>
      </c>
      <c r="K47" s="39"/>
      <c r="L47" s="58"/>
      <c r="P47" s="54" t="s">
        <v>30</v>
      </c>
      <c r="Q47" s="54" t="s">
        <v>30</v>
      </c>
      <c r="R47" s="54">
        <v>0.1</v>
      </c>
      <c r="S47" s="54">
        <v>0.15</v>
      </c>
      <c r="T47" s="54">
        <v>0.22900000000000001</v>
      </c>
      <c r="U47" s="55">
        <f t="shared" si="4"/>
        <v>8.0456973256597994E-2</v>
      </c>
      <c r="V47" s="54">
        <v>5</v>
      </c>
      <c r="W47" s="54">
        <v>20</v>
      </c>
      <c r="X47" s="54">
        <v>5</v>
      </c>
      <c r="Y47" s="54">
        <v>7</v>
      </c>
      <c r="Z47" s="55">
        <f t="shared" si="5"/>
        <v>0.104882</v>
      </c>
      <c r="AA47" s="55">
        <f t="shared" si="6"/>
        <v>0.666661669055022</v>
      </c>
      <c r="AB47" s="55">
        <f t="shared" si="7"/>
        <v>9.4247779607693788E-2</v>
      </c>
      <c r="AC47" s="55">
        <f t="shared" si="8"/>
        <v>0.32986722862692824</v>
      </c>
      <c r="AD47" s="55">
        <f t="shared" si="9"/>
        <v>0.19912977960769379</v>
      </c>
      <c r="AE47" s="55">
        <f t="shared" si="9"/>
        <v>0.99652889768195019</v>
      </c>
    </row>
    <row r="48" spans="2:31" hidden="1" x14ac:dyDescent="0.25">
      <c r="D48" s="46"/>
      <c r="E48" s="46"/>
      <c r="F48" s="46"/>
      <c r="G48" s="46"/>
      <c r="H48" s="56" t="s">
        <v>18</v>
      </c>
      <c r="I48" s="37">
        <v>0</v>
      </c>
      <c r="J48" s="38">
        <f t="shared" si="10"/>
        <v>0</v>
      </c>
      <c r="K48" s="39"/>
      <c r="L48" s="58"/>
      <c r="P48" s="54" t="s">
        <v>12</v>
      </c>
      <c r="Q48" s="54" t="s">
        <v>12</v>
      </c>
      <c r="R48" s="54">
        <v>0.125</v>
      </c>
      <c r="S48" s="54">
        <v>0.15</v>
      </c>
      <c r="T48" s="54">
        <v>0.254</v>
      </c>
      <c r="U48" s="55">
        <f t="shared" si="4"/>
        <v>9.7303763861473269E-2</v>
      </c>
      <c r="V48" s="54">
        <v>5</v>
      </c>
      <c r="W48" s="54">
        <v>20</v>
      </c>
      <c r="X48" s="54">
        <v>5</v>
      </c>
      <c r="Y48" s="54">
        <v>7</v>
      </c>
      <c r="Z48" s="55">
        <f t="shared" si="5"/>
        <v>0.12903200000000001</v>
      </c>
      <c r="AA48" s="55">
        <f t="shared" si="6"/>
        <v>0.76797803213329296</v>
      </c>
      <c r="AB48" s="55">
        <f t="shared" si="7"/>
        <v>0.11780972450961724</v>
      </c>
      <c r="AC48" s="55">
        <f t="shared" si="8"/>
        <v>0.41233403578366035</v>
      </c>
      <c r="AD48" s="55">
        <f t="shared" si="9"/>
        <v>0.24684172450961725</v>
      </c>
      <c r="AE48" s="55">
        <f t="shared" si="9"/>
        <v>1.1803120679169532</v>
      </c>
    </row>
    <row r="49" spans="4:31" hidden="1" x14ac:dyDescent="0.25">
      <c r="D49" s="46"/>
      <c r="E49" s="46"/>
      <c r="F49" s="46"/>
      <c r="G49" s="46"/>
      <c r="H49" s="56" t="s">
        <v>21</v>
      </c>
      <c r="I49" s="37">
        <v>0</v>
      </c>
      <c r="J49" s="38">
        <f t="shared" si="10"/>
        <v>0</v>
      </c>
      <c r="K49" s="39"/>
      <c r="L49" s="58"/>
      <c r="P49" s="54" t="s">
        <v>13</v>
      </c>
      <c r="Q49" s="54" t="s">
        <v>13</v>
      </c>
      <c r="R49" s="54">
        <v>0.15</v>
      </c>
      <c r="S49" s="54">
        <v>0.15</v>
      </c>
      <c r="T49" s="54">
        <v>0.27900000000000003</v>
      </c>
      <c r="U49" s="55">
        <f t="shared" si="4"/>
        <v>0.11415055446634856</v>
      </c>
      <c r="V49" s="54">
        <v>5</v>
      </c>
      <c r="W49" s="54">
        <v>20</v>
      </c>
      <c r="X49" s="54">
        <v>5</v>
      </c>
      <c r="Y49" s="54">
        <v>8</v>
      </c>
      <c r="Z49" s="55">
        <f t="shared" si="5"/>
        <v>0.15568200000000004</v>
      </c>
      <c r="AA49" s="55">
        <f t="shared" si="6"/>
        <v>0.86929439521156404</v>
      </c>
      <c r="AB49" s="55">
        <f t="shared" si="7"/>
        <v>0.1413716694115407</v>
      </c>
      <c r="AC49" s="55">
        <f t="shared" si="8"/>
        <v>0.56548667764616278</v>
      </c>
      <c r="AD49" s="55">
        <f t="shared" si="9"/>
        <v>0.29705366941154077</v>
      </c>
      <c r="AE49" s="55">
        <f t="shared" si="9"/>
        <v>1.4347810728577268</v>
      </c>
    </row>
    <row r="50" spans="4:31" hidden="1" x14ac:dyDescent="0.25">
      <c r="D50" s="46"/>
      <c r="E50" s="46"/>
      <c r="F50" s="46"/>
      <c r="G50" s="46"/>
      <c r="H50" s="56" t="s">
        <v>21</v>
      </c>
      <c r="I50" s="37">
        <v>0</v>
      </c>
      <c r="J50" s="38">
        <f t="shared" si="10"/>
        <v>0</v>
      </c>
      <c r="K50" s="39"/>
      <c r="L50" s="58"/>
      <c r="P50" s="54" t="s">
        <v>14</v>
      </c>
      <c r="Q50" s="54" t="s">
        <v>14</v>
      </c>
      <c r="R50" s="54">
        <v>0.2</v>
      </c>
      <c r="S50" s="54">
        <v>0.15</v>
      </c>
      <c r="T50" s="54">
        <v>0.33</v>
      </c>
      <c r="U50" s="55">
        <f t="shared" si="4"/>
        <v>0.14836171306577797</v>
      </c>
      <c r="V50" s="54">
        <v>5</v>
      </c>
      <c r="W50" s="54">
        <v>22</v>
      </c>
      <c r="X50" s="54">
        <v>5</v>
      </c>
      <c r="Y50" s="54">
        <v>8</v>
      </c>
      <c r="Z50" s="55">
        <f t="shared" si="5"/>
        <v>0.21780000000000002</v>
      </c>
      <c r="AA50" s="55">
        <f t="shared" si="6"/>
        <v>1.1905065360778522</v>
      </c>
      <c r="AB50" s="55">
        <f t="shared" si="7"/>
        <v>0.18849555921538758</v>
      </c>
      <c r="AC50" s="55">
        <f t="shared" si="8"/>
        <v>0.7539822368615503</v>
      </c>
      <c r="AD50" s="55">
        <f t="shared" si="9"/>
        <v>0.40629555921538762</v>
      </c>
      <c r="AE50" s="55">
        <f t="shared" si="9"/>
        <v>1.9444887729394025</v>
      </c>
    </row>
    <row r="51" spans="4:31" hidden="1" x14ac:dyDescent="0.25">
      <c r="D51" s="46"/>
      <c r="E51" s="46"/>
      <c r="F51" s="46"/>
      <c r="G51" s="46"/>
      <c r="H51" s="56" t="s">
        <v>15</v>
      </c>
      <c r="I51" s="37">
        <v>0</v>
      </c>
      <c r="J51" s="38">
        <f t="shared" si="10"/>
        <v>0</v>
      </c>
      <c r="K51" s="39"/>
      <c r="L51" s="58"/>
      <c r="P51" s="54" t="s">
        <v>15</v>
      </c>
      <c r="Q51" s="54" t="s">
        <v>15</v>
      </c>
      <c r="R51" s="54">
        <v>0.25</v>
      </c>
      <c r="S51" s="54">
        <v>0.15</v>
      </c>
      <c r="T51" s="54">
        <v>0.38</v>
      </c>
      <c r="U51" s="55">
        <f t="shared" si="4"/>
        <v>0.18213383409186826</v>
      </c>
      <c r="V51" s="54">
        <v>5</v>
      </c>
      <c r="W51" s="54">
        <v>22</v>
      </c>
      <c r="X51" s="54">
        <v>5</v>
      </c>
      <c r="Y51" s="54">
        <v>8</v>
      </c>
      <c r="Z51" s="55">
        <f t="shared" si="5"/>
        <v>0.2888</v>
      </c>
      <c r="AA51" s="55">
        <f t="shared" si="6"/>
        <v>1.4151304108095224</v>
      </c>
      <c r="AB51" s="55">
        <f t="shared" si="7"/>
        <v>0.23561944901923448</v>
      </c>
      <c r="AC51" s="55">
        <f t="shared" si="8"/>
        <v>0.94247779607693793</v>
      </c>
      <c r="AD51" s="55">
        <f t="shared" si="9"/>
        <v>0.52441944901923443</v>
      </c>
      <c r="AE51" s="55">
        <f t="shared" si="9"/>
        <v>2.3576082068864603</v>
      </c>
    </row>
    <row r="52" spans="4:31" hidden="1" x14ac:dyDescent="0.25">
      <c r="D52" s="46"/>
      <c r="E52" s="46"/>
      <c r="F52" s="46"/>
      <c r="G52" s="46"/>
      <c r="H52" s="56" t="s">
        <v>16</v>
      </c>
      <c r="I52" s="37">
        <v>0</v>
      </c>
      <c r="J52" s="38">
        <f t="shared" si="10"/>
        <v>0</v>
      </c>
      <c r="K52" s="39"/>
      <c r="L52" s="58"/>
      <c r="P52" s="54" t="s">
        <v>16</v>
      </c>
      <c r="Q52" s="54" t="s">
        <v>16</v>
      </c>
      <c r="R52" s="54">
        <v>0.3</v>
      </c>
      <c r="S52" s="54">
        <v>0.15</v>
      </c>
      <c r="T52" s="54">
        <v>0.43</v>
      </c>
      <c r="U52" s="55">
        <f t="shared" si="4"/>
        <v>0.21590595511795851</v>
      </c>
      <c r="V52" s="54">
        <v>5</v>
      </c>
      <c r="W52" s="54">
        <v>25</v>
      </c>
      <c r="X52" s="54">
        <v>5</v>
      </c>
      <c r="Y52" s="54">
        <v>8</v>
      </c>
      <c r="Z52" s="55">
        <f t="shared" si="5"/>
        <v>0.36979999999999996</v>
      </c>
      <c r="AA52" s="55">
        <f t="shared" si="6"/>
        <v>1.8633571426604458</v>
      </c>
      <c r="AB52" s="55">
        <f t="shared" si="7"/>
        <v>0.28274333882308139</v>
      </c>
      <c r="AC52" s="55">
        <f t="shared" si="8"/>
        <v>1.1309733552923256</v>
      </c>
      <c r="AD52" s="55">
        <f t="shared" si="9"/>
        <v>0.65254333882308135</v>
      </c>
      <c r="AE52" s="55">
        <f t="shared" si="9"/>
        <v>2.9943304979527712</v>
      </c>
    </row>
    <row r="53" spans="4:31" hidden="1" x14ac:dyDescent="0.25">
      <c r="D53" s="46"/>
      <c r="E53" s="46"/>
      <c r="F53" s="46"/>
      <c r="G53" s="46"/>
      <c r="H53" s="56" t="s">
        <v>17</v>
      </c>
      <c r="I53" s="37">
        <v>0</v>
      </c>
      <c r="J53" s="38">
        <f t="shared" si="10"/>
        <v>0</v>
      </c>
      <c r="K53" s="39"/>
      <c r="L53" s="58"/>
      <c r="P53" s="54" t="s">
        <v>17</v>
      </c>
      <c r="Q53" s="54" t="s">
        <v>17</v>
      </c>
      <c r="R53" s="54">
        <v>0.35</v>
      </c>
      <c r="S53" s="54">
        <v>0.15</v>
      </c>
      <c r="T53" s="54">
        <v>0.48</v>
      </c>
      <c r="U53" s="55">
        <f t="shared" si="4"/>
        <v>0.2496780761440488</v>
      </c>
      <c r="V53" s="54">
        <v>5</v>
      </c>
      <c r="W53" s="54">
        <v>25</v>
      </c>
      <c r="X53" s="54">
        <v>5</v>
      </c>
      <c r="Y53" s="54">
        <v>9</v>
      </c>
      <c r="Z53" s="55">
        <f t="shared" si="5"/>
        <v>0.46079999999999999</v>
      </c>
      <c r="AA53" s="55">
        <f t="shared" si="6"/>
        <v>2.1186115457646171</v>
      </c>
      <c r="AB53" s="55">
        <f t="shared" si="7"/>
        <v>0.32986722862692824</v>
      </c>
      <c r="AC53" s="55">
        <f t="shared" si="8"/>
        <v>1.4844025288211771</v>
      </c>
      <c r="AD53" s="55">
        <f t="shared" si="9"/>
        <v>0.79066722862692829</v>
      </c>
      <c r="AE53" s="55">
        <f t="shared" si="9"/>
        <v>3.6030140745857944</v>
      </c>
    </row>
    <row r="54" spans="4:31" hidden="1" x14ac:dyDescent="0.25">
      <c r="D54" s="46"/>
      <c r="E54" s="46"/>
      <c r="F54" s="46"/>
      <c r="G54" s="46"/>
      <c r="H54" s="56" t="s">
        <v>18</v>
      </c>
      <c r="I54" s="37">
        <v>0</v>
      </c>
      <c r="J54" s="38">
        <f t="shared" si="10"/>
        <v>0</v>
      </c>
      <c r="K54" s="39"/>
      <c r="L54" s="58"/>
      <c r="P54" s="54" t="s">
        <v>18</v>
      </c>
      <c r="Q54" s="54" t="s">
        <v>18</v>
      </c>
      <c r="R54" s="54">
        <v>0.4</v>
      </c>
      <c r="S54" s="54">
        <v>0.15</v>
      </c>
      <c r="T54" s="54">
        <v>0.53</v>
      </c>
      <c r="U54" s="55">
        <f t="shared" si="4"/>
        <v>0.28345019717013908</v>
      </c>
      <c r="V54" s="54">
        <v>5</v>
      </c>
      <c r="W54" s="54">
        <v>25</v>
      </c>
      <c r="X54" s="54">
        <v>5</v>
      </c>
      <c r="Y54" s="54">
        <v>9</v>
      </c>
      <c r="Z54" s="55">
        <f t="shared" si="5"/>
        <v>0.56180000000000008</v>
      </c>
      <c r="AA54" s="55">
        <f t="shared" si="6"/>
        <v>2.3738659488687879</v>
      </c>
      <c r="AB54" s="55">
        <f t="shared" si="7"/>
        <v>0.37699111843077515</v>
      </c>
      <c r="AC54" s="55">
        <f t="shared" si="8"/>
        <v>1.6964600329384882</v>
      </c>
      <c r="AD54" s="55">
        <f t="shared" si="9"/>
        <v>0.93879111843077523</v>
      </c>
      <c r="AE54" s="55">
        <f t="shared" si="9"/>
        <v>4.0703259818072759</v>
      </c>
    </row>
    <row r="55" spans="4:31" hidden="1" x14ac:dyDescent="0.25">
      <c r="D55" s="46"/>
      <c r="E55" s="46"/>
      <c r="F55" s="46"/>
      <c r="G55" s="46"/>
      <c r="H55" s="56" t="s">
        <v>19</v>
      </c>
      <c r="I55" s="37">
        <v>0</v>
      </c>
      <c r="J55" s="38">
        <f t="shared" si="10"/>
        <v>0</v>
      </c>
      <c r="K55" s="39"/>
      <c r="L55" s="58"/>
      <c r="P55" s="54" t="s">
        <v>19</v>
      </c>
      <c r="Q55" s="54" t="s">
        <v>19</v>
      </c>
      <c r="R55" s="54">
        <v>0.45</v>
      </c>
      <c r="S55" s="54">
        <v>0.15</v>
      </c>
      <c r="T55" s="54">
        <v>0.57999999999999996</v>
      </c>
      <c r="U55" s="55">
        <f t="shared" si="4"/>
        <v>0.31722231819622931</v>
      </c>
      <c r="V55" s="54">
        <v>5</v>
      </c>
      <c r="W55" s="54">
        <v>25</v>
      </c>
      <c r="X55" s="54">
        <v>5</v>
      </c>
      <c r="Y55" s="54">
        <v>9</v>
      </c>
      <c r="Z55" s="55">
        <f t="shared" si="5"/>
        <v>0.67279999999999995</v>
      </c>
      <c r="AA55" s="55">
        <f t="shared" si="6"/>
        <v>2.6291203519729573</v>
      </c>
      <c r="AB55" s="55">
        <f t="shared" si="7"/>
        <v>0.42411500823462206</v>
      </c>
      <c r="AC55" s="55">
        <f t="shared" si="8"/>
        <v>1.9085175370557992</v>
      </c>
      <c r="AD55" s="55">
        <f t="shared" si="9"/>
        <v>1.096915008234622</v>
      </c>
      <c r="AE55" s="55">
        <f t="shared" si="9"/>
        <v>4.5376378890287565</v>
      </c>
    </row>
    <row r="56" spans="4:31" hidden="1" x14ac:dyDescent="0.25">
      <c r="D56" s="46"/>
      <c r="E56" s="46"/>
      <c r="F56" s="46"/>
      <c r="G56" s="46"/>
      <c r="H56" s="56" t="s">
        <v>20</v>
      </c>
      <c r="I56" s="37">
        <v>0</v>
      </c>
      <c r="J56" s="38">
        <f t="shared" si="10"/>
        <v>0</v>
      </c>
      <c r="K56" s="39"/>
      <c r="L56" s="58"/>
      <c r="P56" s="54" t="s">
        <v>20</v>
      </c>
      <c r="Q56" s="54" t="s">
        <v>20</v>
      </c>
      <c r="R56" s="54">
        <v>0.5</v>
      </c>
      <c r="S56" s="54">
        <v>0.15</v>
      </c>
      <c r="T56" s="54">
        <v>0.63</v>
      </c>
      <c r="U56" s="55">
        <f t="shared" si="4"/>
        <v>0.35099443922231965</v>
      </c>
      <c r="V56" s="54">
        <v>5</v>
      </c>
      <c r="W56" s="54">
        <v>28</v>
      </c>
      <c r="X56" s="54">
        <v>5</v>
      </c>
      <c r="Y56" s="54">
        <v>10</v>
      </c>
      <c r="Z56" s="55">
        <f t="shared" si="5"/>
        <v>0.79380000000000006</v>
      </c>
      <c r="AA56" s="55">
        <f t="shared" si="6"/>
        <v>3.2304997256863848</v>
      </c>
      <c r="AB56" s="55">
        <f t="shared" si="7"/>
        <v>0.47123889803846897</v>
      </c>
      <c r="AC56" s="55">
        <f t="shared" si="8"/>
        <v>2.3561944901923448</v>
      </c>
      <c r="AD56" s="55">
        <f t="shared" si="9"/>
        <v>1.265038898038469</v>
      </c>
      <c r="AE56" s="55">
        <f t="shared" si="9"/>
        <v>5.5866942158787296</v>
      </c>
    </row>
    <row r="57" spans="4:31" hidden="1" x14ac:dyDescent="0.25">
      <c r="D57" s="46"/>
      <c r="E57" s="46"/>
      <c r="F57" s="46"/>
      <c r="G57" s="46"/>
      <c r="H57" s="56" t="s">
        <v>21</v>
      </c>
      <c r="I57" s="37">
        <v>0</v>
      </c>
      <c r="J57" s="38">
        <f t="shared" si="10"/>
        <v>0</v>
      </c>
      <c r="K57" s="39"/>
      <c r="L57" s="58"/>
      <c r="P57" s="54" t="s">
        <v>21</v>
      </c>
      <c r="Q57" s="54" t="s">
        <v>21</v>
      </c>
      <c r="R57" s="54">
        <v>0.6</v>
      </c>
      <c r="S57" s="54">
        <v>0.15</v>
      </c>
      <c r="T57" s="54">
        <v>0.73</v>
      </c>
      <c r="U57" s="55">
        <f t="shared" si="4"/>
        <v>0.41853868127450011</v>
      </c>
      <c r="V57" s="54">
        <v>5</v>
      </c>
      <c r="W57" s="54">
        <v>30</v>
      </c>
      <c r="X57" s="54">
        <v>5</v>
      </c>
      <c r="Y57" s="54">
        <v>11</v>
      </c>
      <c r="Z57" s="55">
        <f t="shared" si="5"/>
        <v>1.0657999999999999</v>
      </c>
      <c r="AA57" s="55">
        <f t="shared" si="6"/>
        <v>4.0738602735425626</v>
      </c>
      <c r="AB57" s="55">
        <f t="shared" si="7"/>
        <v>0.56548667764616278</v>
      </c>
      <c r="AC57" s="55">
        <f t="shared" si="8"/>
        <v>3.1101767270538954</v>
      </c>
      <c r="AD57" s="55">
        <f t="shared" si="9"/>
        <v>1.6312866776461625</v>
      </c>
      <c r="AE57" s="55">
        <f t="shared" si="9"/>
        <v>7.184037000596458</v>
      </c>
    </row>
    <row r="58" spans="4:31" hidden="1" x14ac:dyDescent="0.25">
      <c r="L58" s="59"/>
      <c r="P58" s="322"/>
      <c r="Q58" s="322"/>
      <c r="R58" s="322"/>
      <c r="S58" s="322"/>
      <c r="T58" s="322"/>
      <c r="U58" s="322"/>
      <c r="V58" s="441" t="s">
        <v>31</v>
      </c>
      <c r="W58" s="441"/>
    </row>
    <row r="59" spans="4:31" hidden="1" x14ac:dyDescent="0.25">
      <c r="L59" s="59"/>
      <c r="P59" s="322"/>
      <c r="Q59" s="322" t="s">
        <v>51</v>
      </c>
      <c r="R59" s="322" t="s">
        <v>6</v>
      </c>
      <c r="S59" s="322" t="s">
        <v>9</v>
      </c>
      <c r="T59" s="322" t="s">
        <v>10</v>
      </c>
      <c r="U59" s="322" t="s">
        <v>8</v>
      </c>
      <c r="V59" s="322" t="s">
        <v>4</v>
      </c>
      <c r="W59" s="322" t="s">
        <v>3</v>
      </c>
    </row>
    <row r="60" spans="4:31" x14ac:dyDescent="0.25">
      <c r="L60" s="59"/>
      <c r="P60" s="322" t="s">
        <v>32</v>
      </c>
      <c r="Q60" s="322" t="s">
        <v>32</v>
      </c>
      <c r="R60" s="60">
        <v>0</v>
      </c>
      <c r="S60" s="60">
        <v>0</v>
      </c>
      <c r="T60" s="322">
        <v>0</v>
      </c>
      <c r="U60" s="61">
        <f t="shared" ref="U60:U78" si="12">((PI()/4)*(T60^2))</f>
        <v>0</v>
      </c>
      <c r="V60" s="322">
        <v>5</v>
      </c>
      <c r="W60" s="54">
        <v>12</v>
      </c>
    </row>
    <row r="61" spans="4:31" x14ac:dyDescent="0.25">
      <c r="D61" s="62"/>
      <c r="E61" s="62">
        <f t="shared" ref="E61:E78" si="13">LOOKUP(H61,B.FLG,B.FLG.FRP)</f>
        <v>15</v>
      </c>
      <c r="F61" s="46"/>
      <c r="G61" s="46"/>
      <c r="H61" s="63" t="s">
        <v>36</v>
      </c>
      <c r="I61" s="37">
        <v>1</v>
      </c>
      <c r="J61" s="38">
        <f t="shared" ref="J61:J78" si="14">LOOKUP(H61,B.FLG,B.FLG.AREA)*(CEILING(D61/3,1))*I61</f>
        <v>0</v>
      </c>
      <c r="K61" s="39">
        <f>LOOKUP(H61,B.FLG,B.FLG.AREA)</f>
        <v>1.2667686977437444E-2</v>
      </c>
      <c r="L61" s="216">
        <v>0.22</v>
      </c>
      <c r="M61" s="179">
        <f>L61*I61</f>
        <v>0.22</v>
      </c>
      <c r="P61" s="322" t="s">
        <v>33</v>
      </c>
      <c r="Q61" s="322" t="s">
        <v>33</v>
      </c>
      <c r="R61" s="60">
        <v>1.4999999999999999E-2</v>
      </c>
      <c r="S61" s="60">
        <v>0.15</v>
      </c>
      <c r="T61" s="60">
        <v>8.8999999999999996E-2</v>
      </c>
      <c r="U61" s="61">
        <f t="shared" si="12"/>
        <v>6.221138852271187E-3</v>
      </c>
      <c r="V61" s="322">
        <v>5</v>
      </c>
      <c r="W61" s="54">
        <v>12</v>
      </c>
    </row>
    <row r="62" spans="4:31" x14ac:dyDescent="0.25">
      <c r="D62" s="62"/>
      <c r="E62" s="62">
        <f t="shared" si="13"/>
        <v>18</v>
      </c>
      <c r="F62" s="46"/>
      <c r="G62" s="46"/>
      <c r="H62" s="63" t="s">
        <v>40</v>
      </c>
      <c r="I62" s="37">
        <v>0</v>
      </c>
      <c r="J62" s="38">
        <f t="shared" si="14"/>
        <v>0</v>
      </c>
      <c r="K62" s="39">
        <f>LOOKUP(H62,B.FLG,B.FLG.AREA)</f>
        <v>4.1187065086725587E-2</v>
      </c>
      <c r="L62" s="216">
        <v>1.63</v>
      </c>
      <c r="M62" s="179">
        <f>L62*I62</f>
        <v>0</v>
      </c>
      <c r="P62" s="322" t="s">
        <v>34</v>
      </c>
      <c r="Q62" s="322" t="s">
        <v>34</v>
      </c>
      <c r="R62" s="60">
        <v>0.02</v>
      </c>
      <c r="S62" s="60">
        <v>0.15</v>
      </c>
      <c r="T62" s="60">
        <v>9.8000000000000004E-2</v>
      </c>
      <c r="U62" s="61">
        <f t="shared" si="12"/>
        <v>7.5429639612690945E-3</v>
      </c>
      <c r="V62" s="322">
        <v>5</v>
      </c>
      <c r="W62" s="54">
        <v>12</v>
      </c>
    </row>
    <row r="63" spans="4:31" hidden="1" x14ac:dyDescent="0.25">
      <c r="D63" s="62"/>
      <c r="E63" s="62">
        <f t="shared" si="13"/>
        <v>18</v>
      </c>
      <c r="F63" s="46"/>
      <c r="G63" s="46"/>
      <c r="H63" s="63" t="s">
        <v>39</v>
      </c>
      <c r="I63" s="37">
        <v>0</v>
      </c>
      <c r="J63" s="38">
        <f>LOOKUP(H63,B.FLG,B.FLG.AREA)*(CEILING(D63/3,1))*I63</f>
        <v>0</v>
      </c>
      <c r="K63" s="39">
        <f>LOOKUP(H63,B.FLG,B.FLG.AREA)</f>
        <v>2.8652110398902312E-2</v>
      </c>
      <c r="L63" s="64">
        <v>0.38</v>
      </c>
      <c r="M63" s="325">
        <f t="shared" ref="M63:M65" si="15">L63*I63</f>
        <v>0</v>
      </c>
      <c r="P63" s="322" t="s">
        <v>35</v>
      </c>
      <c r="Q63" s="322" t="s">
        <v>35</v>
      </c>
      <c r="R63" s="60">
        <v>2.5000000000000001E-2</v>
      </c>
      <c r="S63" s="60">
        <v>0.15</v>
      </c>
      <c r="T63" s="60">
        <v>0.108</v>
      </c>
      <c r="U63" s="61">
        <f t="shared" si="12"/>
        <v>9.1608841778678361E-3</v>
      </c>
      <c r="V63" s="322">
        <v>5</v>
      </c>
      <c r="W63" s="54">
        <v>12</v>
      </c>
    </row>
    <row r="64" spans="4:31" hidden="1" x14ac:dyDescent="0.25">
      <c r="D64" s="62"/>
      <c r="E64" s="62">
        <f t="shared" si="13"/>
        <v>18</v>
      </c>
      <c r="F64" s="46"/>
      <c r="G64" s="46"/>
      <c r="H64" s="63" t="s">
        <v>40</v>
      </c>
      <c r="I64" s="37">
        <v>0</v>
      </c>
      <c r="J64" s="38">
        <f t="shared" si="14"/>
        <v>0</v>
      </c>
      <c r="K64" s="39">
        <f>LOOKUP(H64,B.FLG,B.FLG.AREA)</f>
        <v>4.1187065086725587E-2</v>
      </c>
      <c r="L64" s="64">
        <v>0.46</v>
      </c>
      <c r="M64" s="325">
        <f t="shared" si="15"/>
        <v>0</v>
      </c>
      <c r="P64" s="322" t="s">
        <v>36</v>
      </c>
      <c r="Q64" s="322" t="s">
        <v>36</v>
      </c>
      <c r="R64" s="60">
        <v>0.04</v>
      </c>
      <c r="S64" s="60">
        <v>0.15</v>
      </c>
      <c r="T64" s="60">
        <v>0.127</v>
      </c>
      <c r="U64" s="61">
        <f t="shared" si="12"/>
        <v>1.2667686977437444E-2</v>
      </c>
      <c r="V64" s="322">
        <v>5</v>
      </c>
      <c r="W64" s="54">
        <v>15</v>
      </c>
    </row>
    <row r="65" spans="4:23" hidden="1" x14ac:dyDescent="0.25">
      <c r="D65" s="62"/>
      <c r="E65" s="62">
        <f t="shared" si="13"/>
        <v>25</v>
      </c>
      <c r="F65" s="46"/>
      <c r="G65" s="46"/>
      <c r="H65" s="63" t="s">
        <v>48</v>
      </c>
      <c r="I65" s="37">
        <v>0</v>
      </c>
      <c r="J65" s="38">
        <f t="shared" si="14"/>
        <v>0</v>
      </c>
      <c r="K65" s="39">
        <f>LOOKUP(H65,B.FLG,B.FLG.AREA)*1.5</f>
        <v>0.39631191325035237</v>
      </c>
      <c r="L65" s="64">
        <v>4.46</v>
      </c>
      <c r="M65" s="325">
        <f t="shared" si="15"/>
        <v>0</v>
      </c>
      <c r="P65" s="322" t="s">
        <v>37</v>
      </c>
      <c r="Q65" s="322" t="s">
        <v>37</v>
      </c>
      <c r="R65" s="60">
        <v>0.05</v>
      </c>
      <c r="S65" s="60">
        <v>0.15</v>
      </c>
      <c r="T65" s="60">
        <v>0.152</v>
      </c>
      <c r="U65" s="61">
        <f t="shared" si="12"/>
        <v>1.8145839167134643E-2</v>
      </c>
      <c r="V65" s="322">
        <v>5</v>
      </c>
      <c r="W65" s="54">
        <v>15</v>
      </c>
    </row>
    <row r="66" spans="4:23" hidden="1" x14ac:dyDescent="0.25">
      <c r="D66" s="62"/>
      <c r="E66" s="62">
        <f t="shared" si="13"/>
        <v>30</v>
      </c>
      <c r="F66" s="46"/>
      <c r="G66" s="46"/>
      <c r="H66" s="63" t="s">
        <v>50</v>
      </c>
      <c r="I66" s="37">
        <v>0</v>
      </c>
      <c r="J66" s="38">
        <f t="shared" si="14"/>
        <v>0</v>
      </c>
      <c r="K66" s="39">
        <f t="shared" ref="K66:K78" si="16">LOOKUP(H66,B.FLG,B.FLG.AREA)</f>
        <v>0.41853868127450011</v>
      </c>
      <c r="L66" s="65">
        <f t="shared" ref="L66" si="17">+E66*K66*I66</f>
        <v>0</v>
      </c>
      <c r="P66" s="322" t="s">
        <v>38</v>
      </c>
      <c r="Q66" s="322" t="s">
        <v>38</v>
      </c>
      <c r="R66" s="60">
        <v>6.5000000000000002E-2</v>
      </c>
      <c r="S66" s="60">
        <v>0.15</v>
      </c>
      <c r="T66" s="60">
        <v>0.17799999999999999</v>
      </c>
      <c r="U66" s="61">
        <f t="shared" si="12"/>
        <v>2.4884555409084748E-2</v>
      </c>
      <c r="V66" s="322">
        <v>5</v>
      </c>
      <c r="W66" s="54">
        <v>15</v>
      </c>
    </row>
    <row r="67" spans="4:23" hidden="1" x14ac:dyDescent="0.25">
      <c r="D67" s="62"/>
      <c r="E67" s="62">
        <f t="shared" si="13"/>
        <v>30</v>
      </c>
      <c r="F67" s="46"/>
      <c r="G67" s="46"/>
      <c r="H67" s="63" t="s">
        <v>50</v>
      </c>
      <c r="I67" s="37">
        <v>0</v>
      </c>
      <c r="J67" s="38">
        <f t="shared" si="14"/>
        <v>0</v>
      </c>
      <c r="K67" s="39">
        <f t="shared" si="16"/>
        <v>0.41853868127450011</v>
      </c>
      <c r="L67" s="64">
        <f>+E67*K67*I67*2</f>
        <v>0</v>
      </c>
      <c r="M67" s="325" t="s">
        <v>116</v>
      </c>
      <c r="P67" s="322" t="s">
        <v>39</v>
      </c>
      <c r="Q67" s="322" t="s">
        <v>39</v>
      </c>
      <c r="R67" s="60">
        <v>0.08</v>
      </c>
      <c r="S67" s="60">
        <v>0.15</v>
      </c>
      <c r="T67" s="60">
        <v>0.191</v>
      </c>
      <c r="U67" s="61">
        <f t="shared" si="12"/>
        <v>2.8652110398902312E-2</v>
      </c>
      <c r="V67" s="322">
        <v>5</v>
      </c>
      <c r="W67" s="54">
        <v>18</v>
      </c>
    </row>
    <row r="68" spans="4:23" hidden="1" x14ac:dyDescent="0.25">
      <c r="D68" s="62"/>
      <c r="E68" s="62">
        <f t="shared" si="13"/>
        <v>30</v>
      </c>
      <c r="F68" s="46"/>
      <c r="G68" s="46"/>
      <c r="H68" s="63" t="s">
        <v>50</v>
      </c>
      <c r="I68" s="37">
        <v>0</v>
      </c>
      <c r="J68" s="38">
        <f t="shared" si="14"/>
        <v>0</v>
      </c>
      <c r="K68" s="39">
        <f t="shared" si="16"/>
        <v>0.41853868127450011</v>
      </c>
      <c r="L68" s="39">
        <f t="shared" ref="L68:L78" si="18">+E68*K68*I68</f>
        <v>0</v>
      </c>
      <c r="P68" s="322" t="s">
        <v>40</v>
      </c>
      <c r="Q68" s="322" t="s">
        <v>40</v>
      </c>
      <c r="R68" s="60">
        <v>0.1</v>
      </c>
      <c r="S68" s="60">
        <v>0.15</v>
      </c>
      <c r="T68" s="60">
        <v>0.22900000000000001</v>
      </c>
      <c r="U68" s="61">
        <f t="shared" si="12"/>
        <v>4.1187065086725587E-2</v>
      </c>
      <c r="V68" s="322">
        <v>5</v>
      </c>
      <c r="W68" s="54">
        <v>18</v>
      </c>
    </row>
    <row r="69" spans="4:23" hidden="1" x14ac:dyDescent="0.25">
      <c r="D69" s="62"/>
      <c r="E69" s="62">
        <f t="shared" si="13"/>
        <v>30</v>
      </c>
      <c r="F69" s="46"/>
      <c r="G69" s="46"/>
      <c r="H69" s="63" t="s">
        <v>50</v>
      </c>
      <c r="I69" s="37">
        <v>0</v>
      </c>
      <c r="J69" s="38">
        <f t="shared" si="14"/>
        <v>0</v>
      </c>
      <c r="K69" s="39">
        <f t="shared" si="16"/>
        <v>0.41853868127450011</v>
      </c>
      <c r="L69" s="39">
        <f t="shared" si="18"/>
        <v>0</v>
      </c>
      <c r="M69" s="66"/>
      <c r="P69" s="322" t="s">
        <v>41</v>
      </c>
      <c r="Q69" s="322" t="s">
        <v>41</v>
      </c>
      <c r="R69" s="60">
        <v>0.125</v>
      </c>
      <c r="S69" s="60">
        <v>0.15</v>
      </c>
      <c r="T69" s="60">
        <v>0.254</v>
      </c>
      <c r="U69" s="61">
        <f t="shared" si="12"/>
        <v>5.0670747909749778E-2</v>
      </c>
      <c r="V69" s="322">
        <v>5</v>
      </c>
      <c r="W69" s="54">
        <v>18</v>
      </c>
    </row>
    <row r="70" spans="4:23" hidden="1" x14ac:dyDescent="0.25">
      <c r="D70" s="62"/>
      <c r="E70" s="62">
        <f t="shared" si="13"/>
        <v>20</v>
      </c>
      <c r="F70" s="46"/>
      <c r="G70" s="46"/>
      <c r="H70" s="63" t="s">
        <v>42</v>
      </c>
      <c r="I70" s="37">
        <v>0</v>
      </c>
      <c r="J70" s="38">
        <f t="shared" si="14"/>
        <v>0</v>
      </c>
      <c r="K70" s="39">
        <f t="shared" si="16"/>
        <v>6.1136178437020787E-2</v>
      </c>
      <c r="L70" s="39">
        <f t="shared" si="18"/>
        <v>0</v>
      </c>
      <c r="P70" s="322" t="s">
        <v>42</v>
      </c>
      <c r="Q70" s="322" t="s">
        <v>42</v>
      </c>
      <c r="R70" s="60">
        <v>0.15</v>
      </c>
      <c r="S70" s="60">
        <v>0.15</v>
      </c>
      <c r="T70" s="60">
        <v>0.27900000000000003</v>
      </c>
      <c r="U70" s="61">
        <f t="shared" si="12"/>
        <v>6.1136178437020787E-2</v>
      </c>
      <c r="V70" s="322">
        <v>5</v>
      </c>
      <c r="W70" s="54">
        <v>20</v>
      </c>
    </row>
    <row r="71" spans="4:23" hidden="1" x14ac:dyDescent="0.25">
      <c r="D71" s="62"/>
      <c r="E71" s="62">
        <f t="shared" si="13"/>
        <v>20</v>
      </c>
      <c r="F71" s="46"/>
      <c r="G71" s="46"/>
      <c r="H71" s="63" t="s">
        <v>43</v>
      </c>
      <c r="I71" s="37">
        <v>0</v>
      </c>
      <c r="J71" s="38">
        <f t="shared" si="14"/>
        <v>0</v>
      </c>
      <c r="K71" s="39">
        <f t="shared" si="16"/>
        <v>8.5529859993982132E-2</v>
      </c>
      <c r="L71" s="39">
        <f t="shared" si="18"/>
        <v>0</v>
      </c>
      <c r="P71" s="322" t="s">
        <v>43</v>
      </c>
      <c r="Q71" s="322" t="s">
        <v>43</v>
      </c>
      <c r="R71" s="60">
        <v>0.2</v>
      </c>
      <c r="S71" s="60">
        <v>0.15</v>
      </c>
      <c r="T71" s="60">
        <v>0.33</v>
      </c>
      <c r="U71" s="61">
        <f t="shared" si="12"/>
        <v>8.5529859993982132E-2</v>
      </c>
      <c r="V71" s="322">
        <v>5</v>
      </c>
      <c r="W71" s="54">
        <v>20</v>
      </c>
    </row>
    <row r="72" spans="4:23" hidden="1" x14ac:dyDescent="0.25">
      <c r="D72" s="62"/>
      <c r="E72" s="62">
        <f t="shared" si="13"/>
        <v>22</v>
      </c>
      <c r="F72" s="46"/>
      <c r="G72" s="46"/>
      <c r="H72" s="63" t="s">
        <v>44</v>
      </c>
      <c r="I72" s="37">
        <v>0</v>
      </c>
      <c r="J72" s="38">
        <f t="shared" si="14"/>
        <v>0</v>
      </c>
      <c r="K72" s="39">
        <f t="shared" si="16"/>
        <v>0.11341149479459153</v>
      </c>
      <c r="L72" s="39">
        <f t="shared" si="18"/>
        <v>0</v>
      </c>
      <c r="P72" s="322" t="s">
        <v>44</v>
      </c>
      <c r="Q72" s="322" t="s">
        <v>44</v>
      </c>
      <c r="R72" s="60">
        <v>0.25</v>
      </c>
      <c r="S72" s="60">
        <v>0.15</v>
      </c>
      <c r="T72" s="60">
        <v>0.38</v>
      </c>
      <c r="U72" s="61">
        <f t="shared" si="12"/>
        <v>0.11341149479459153</v>
      </c>
      <c r="V72" s="322">
        <v>5</v>
      </c>
      <c r="W72" s="54">
        <v>22</v>
      </c>
    </row>
    <row r="73" spans="4:23" hidden="1" x14ac:dyDescent="0.25">
      <c r="D73" s="62"/>
      <c r="E73" s="62">
        <f t="shared" si="13"/>
        <v>22</v>
      </c>
      <c r="F73" s="46"/>
      <c r="G73" s="46"/>
      <c r="H73" s="63" t="s">
        <v>45</v>
      </c>
      <c r="I73" s="37">
        <v>0</v>
      </c>
      <c r="J73" s="38">
        <f t="shared" si="14"/>
        <v>0</v>
      </c>
      <c r="K73" s="39">
        <f t="shared" si="16"/>
        <v>0.14522012041218818</v>
      </c>
      <c r="L73" s="39">
        <f t="shared" si="18"/>
        <v>0</v>
      </c>
      <c r="P73" s="322" t="s">
        <v>45</v>
      </c>
      <c r="Q73" s="322" t="s">
        <v>45</v>
      </c>
      <c r="R73" s="60">
        <v>0.3</v>
      </c>
      <c r="S73" s="60">
        <v>0.15</v>
      </c>
      <c r="T73" s="60">
        <v>0.43</v>
      </c>
      <c r="U73" s="61">
        <f t="shared" si="12"/>
        <v>0.14522012041218818</v>
      </c>
      <c r="V73" s="322">
        <v>5</v>
      </c>
      <c r="W73" s="54">
        <v>22</v>
      </c>
    </row>
    <row r="74" spans="4:23" hidden="1" x14ac:dyDescent="0.25">
      <c r="D74" s="62"/>
      <c r="E74" s="62">
        <f t="shared" si="13"/>
        <v>25</v>
      </c>
      <c r="F74" s="46"/>
      <c r="G74" s="46"/>
      <c r="H74" s="63" t="s">
        <v>46</v>
      </c>
      <c r="I74" s="37">
        <v>0</v>
      </c>
      <c r="J74" s="38">
        <f t="shared" si="14"/>
        <v>0</v>
      </c>
      <c r="K74" s="39">
        <f t="shared" si="16"/>
        <v>0.18095573684677208</v>
      </c>
      <c r="L74" s="39">
        <f t="shared" si="18"/>
        <v>0</v>
      </c>
      <c r="P74" s="322" t="s">
        <v>46</v>
      </c>
      <c r="Q74" s="322" t="s">
        <v>46</v>
      </c>
      <c r="R74" s="60">
        <v>0.35</v>
      </c>
      <c r="S74" s="60">
        <v>0.15</v>
      </c>
      <c r="T74" s="60">
        <v>0.48</v>
      </c>
      <c r="U74" s="61">
        <f t="shared" si="12"/>
        <v>0.18095573684677208</v>
      </c>
      <c r="V74" s="322">
        <v>5</v>
      </c>
      <c r="W74" s="54">
        <v>25</v>
      </c>
    </row>
    <row r="75" spans="4:23" hidden="1" x14ac:dyDescent="0.25">
      <c r="D75" s="62"/>
      <c r="E75" s="62">
        <f t="shared" si="13"/>
        <v>25</v>
      </c>
      <c r="F75" s="46"/>
      <c r="G75" s="46"/>
      <c r="H75" s="63" t="s">
        <v>47</v>
      </c>
      <c r="I75" s="37">
        <v>0</v>
      </c>
      <c r="J75" s="38">
        <f t="shared" si="14"/>
        <v>0</v>
      </c>
      <c r="K75" s="39">
        <f t="shared" si="16"/>
        <v>0.22061834409834324</v>
      </c>
      <c r="L75" s="39">
        <f t="shared" si="18"/>
        <v>0</v>
      </c>
      <c r="P75" s="322" t="s">
        <v>47</v>
      </c>
      <c r="Q75" s="322" t="s">
        <v>47</v>
      </c>
      <c r="R75" s="60">
        <v>0.4</v>
      </c>
      <c r="S75" s="60">
        <v>0.15</v>
      </c>
      <c r="T75" s="60">
        <v>0.53</v>
      </c>
      <c r="U75" s="61">
        <f t="shared" si="12"/>
        <v>0.22061834409834324</v>
      </c>
      <c r="V75" s="322">
        <v>5</v>
      </c>
      <c r="W75" s="54">
        <v>25</v>
      </c>
    </row>
    <row r="76" spans="4:23" hidden="1" x14ac:dyDescent="0.25">
      <c r="D76" s="62"/>
      <c r="E76" s="62">
        <f t="shared" si="13"/>
        <v>25</v>
      </c>
      <c r="F76" s="46"/>
      <c r="G76" s="46"/>
      <c r="H76" s="63" t="s">
        <v>48</v>
      </c>
      <c r="I76" s="37">
        <v>0</v>
      </c>
      <c r="J76" s="38">
        <f t="shared" si="14"/>
        <v>0</v>
      </c>
      <c r="K76" s="39">
        <f t="shared" si="16"/>
        <v>0.26420794216690158</v>
      </c>
      <c r="L76" s="39">
        <f t="shared" si="18"/>
        <v>0</v>
      </c>
      <c r="P76" s="322" t="s">
        <v>48</v>
      </c>
      <c r="Q76" s="322" t="s">
        <v>48</v>
      </c>
      <c r="R76" s="60">
        <v>0.45</v>
      </c>
      <c r="S76" s="60">
        <v>0.15</v>
      </c>
      <c r="T76" s="60">
        <v>0.57999999999999996</v>
      </c>
      <c r="U76" s="61">
        <f t="shared" si="12"/>
        <v>0.26420794216690158</v>
      </c>
      <c r="V76" s="322">
        <v>5</v>
      </c>
      <c r="W76" s="54">
        <v>25</v>
      </c>
    </row>
    <row r="77" spans="4:23" hidden="1" x14ac:dyDescent="0.25">
      <c r="D77" s="62"/>
      <c r="E77" s="62">
        <f t="shared" si="13"/>
        <v>28</v>
      </c>
      <c r="F77" s="46"/>
      <c r="G77" s="46"/>
      <c r="H77" s="63" t="s">
        <v>49</v>
      </c>
      <c r="I77" s="37">
        <v>0</v>
      </c>
      <c r="J77" s="38">
        <f t="shared" si="14"/>
        <v>0</v>
      </c>
      <c r="K77" s="39">
        <f t="shared" si="16"/>
        <v>0.31172453105244724</v>
      </c>
      <c r="L77" s="39">
        <f t="shared" si="18"/>
        <v>0</v>
      </c>
      <c r="P77" s="322" t="s">
        <v>49</v>
      </c>
      <c r="Q77" s="322" t="s">
        <v>49</v>
      </c>
      <c r="R77" s="60">
        <v>0.5</v>
      </c>
      <c r="S77" s="60">
        <v>0.15</v>
      </c>
      <c r="T77" s="60">
        <v>0.63</v>
      </c>
      <c r="U77" s="61">
        <f t="shared" si="12"/>
        <v>0.31172453105244724</v>
      </c>
      <c r="V77" s="322">
        <v>5</v>
      </c>
      <c r="W77" s="54">
        <v>28</v>
      </c>
    </row>
    <row r="78" spans="4:23" hidden="1" x14ac:dyDescent="0.25">
      <c r="D78" s="62"/>
      <c r="E78" s="62">
        <f t="shared" si="13"/>
        <v>30</v>
      </c>
      <c r="F78" s="46"/>
      <c r="G78" s="46"/>
      <c r="H78" s="63" t="s">
        <v>50</v>
      </c>
      <c r="I78" s="37">
        <v>0</v>
      </c>
      <c r="J78" s="38">
        <f t="shared" si="14"/>
        <v>0</v>
      </c>
      <c r="K78" s="39">
        <f t="shared" si="16"/>
        <v>0.41853868127450011</v>
      </c>
      <c r="L78" s="39">
        <f t="shared" si="18"/>
        <v>0</v>
      </c>
      <c r="P78" s="322" t="s">
        <v>50</v>
      </c>
      <c r="Q78" s="322" t="s">
        <v>50</v>
      </c>
      <c r="R78" s="60">
        <v>0.6</v>
      </c>
      <c r="S78" s="60">
        <v>0.15</v>
      </c>
      <c r="T78" s="60">
        <v>0.73</v>
      </c>
      <c r="U78" s="61">
        <f t="shared" si="12"/>
        <v>0.41853868127450011</v>
      </c>
      <c r="V78" s="322">
        <v>5</v>
      </c>
      <c r="W78" s="54">
        <v>30</v>
      </c>
    </row>
    <row r="80" spans="4:23" x14ac:dyDescent="0.25">
      <c r="J80" s="67">
        <f>SUM(J40:J79)*1.35</f>
        <v>1.1674149113637784</v>
      </c>
      <c r="L80" s="68"/>
      <c r="M80" s="67">
        <f>SUM(M40:M79)*1.25</f>
        <v>16.224999999999998</v>
      </c>
    </row>
    <row r="81" spans="2:17" s="66" customFormat="1" ht="12.75" x14ac:dyDescent="0.25">
      <c r="H81" s="69"/>
      <c r="J81" s="70">
        <f>J21</f>
        <v>0</v>
      </c>
      <c r="K81" s="71"/>
      <c r="L81" s="70" t="str">
        <f>L21</f>
        <v>BIS</v>
      </c>
      <c r="M81" s="72" t="str">
        <f>L21</f>
        <v>BIS</v>
      </c>
      <c r="N81" s="70" t="str">
        <f>M21</f>
        <v>BIS</v>
      </c>
      <c r="O81" s="73"/>
    </row>
    <row r="82" spans="2:17" ht="18" x14ac:dyDescent="0.25">
      <c r="C82" s="213" t="str">
        <f>'01_1.35 KL'!C82</f>
        <v>MOC BY PARAMOUNT &amp; THK AS PER JRF</v>
      </c>
      <c r="D82" s="214"/>
      <c r="E82" s="214"/>
      <c r="F82" s="214"/>
      <c r="G82" s="214"/>
      <c r="H82" s="215"/>
      <c r="J82" s="74">
        <f>SUM(J23:J37)</f>
        <v>4.2746461355322811</v>
      </c>
      <c r="K82" s="75"/>
      <c r="L82" s="74">
        <f>SUM(L23:L37)</f>
        <v>9.8017690792001542</v>
      </c>
      <c r="M82" s="74">
        <f t="shared" ref="M82:N82" si="19">SUM(M23:M37)</f>
        <v>28.984333822019433</v>
      </c>
      <c r="N82" s="74">
        <f t="shared" si="19"/>
        <v>3.267256359733385</v>
      </c>
    </row>
    <row r="83" spans="2:17" ht="18" x14ac:dyDescent="0.25">
      <c r="B83" s="327"/>
      <c r="D83" s="327"/>
      <c r="E83" s="327"/>
      <c r="F83" s="327"/>
      <c r="G83" s="327"/>
      <c r="H83" s="6"/>
      <c r="I83" s="327"/>
      <c r="J83" s="327" t="s">
        <v>77</v>
      </c>
      <c r="K83" s="76"/>
      <c r="L83" s="77" t="s">
        <v>78</v>
      </c>
      <c r="M83" s="78" t="s">
        <v>78</v>
      </c>
      <c r="N83" s="79" t="s">
        <v>78</v>
      </c>
      <c r="O83" s="327"/>
    </row>
    <row r="84" spans="2:17" s="86" customFormat="1" ht="20.25" customHeight="1" x14ac:dyDescent="0.25">
      <c r="B84" s="70" t="s">
        <v>117</v>
      </c>
      <c r="C84" s="80" t="s">
        <v>62</v>
      </c>
      <c r="D84" s="81"/>
      <c r="E84" s="81"/>
      <c r="F84" s="82"/>
      <c r="G84" s="83"/>
      <c r="H84" s="83" t="s">
        <v>63</v>
      </c>
      <c r="I84" s="83"/>
      <c r="J84" s="83" t="s">
        <v>64</v>
      </c>
      <c r="K84" s="84"/>
      <c r="L84" s="84"/>
      <c r="M84" s="84"/>
      <c r="N84" s="85"/>
    </row>
    <row r="85" spans="2:17" x14ac:dyDescent="0.25">
      <c r="B85" s="87" t="s">
        <v>88</v>
      </c>
      <c r="C85" s="88" t="s">
        <v>118</v>
      </c>
      <c r="D85" s="89">
        <f>J81</f>
        <v>0</v>
      </c>
      <c r="E85" s="320"/>
      <c r="F85" s="180"/>
      <c r="G85" s="179">
        <f>CEILING(J82*1.05,1)</f>
        <v>5</v>
      </c>
      <c r="H85" s="91">
        <f>'RESIN RATE'!E12</f>
        <v>0</v>
      </c>
      <c r="I85" s="39" t="s">
        <v>65</v>
      </c>
      <c r="J85" s="92">
        <f>+G85*H85</f>
        <v>0</v>
      </c>
      <c r="K85" s="93"/>
      <c r="N85" s="94">
        <f>+J81</f>
        <v>0</v>
      </c>
    </row>
    <row r="86" spans="2:17" x14ac:dyDescent="0.25">
      <c r="B86" s="87" t="s">
        <v>119</v>
      </c>
      <c r="C86" s="95" t="s">
        <v>79</v>
      </c>
      <c r="D86" s="409" t="str">
        <f>L81</f>
        <v>BIS</v>
      </c>
      <c r="E86" s="320" t="s">
        <v>197</v>
      </c>
      <c r="F86" s="180"/>
      <c r="G86" s="179">
        <f>CEILING(L82*1.1,1)</f>
        <v>11</v>
      </c>
      <c r="H86" s="91">
        <f>'RESIN RATE'!D12</f>
        <v>565</v>
      </c>
      <c r="I86" s="39" t="s">
        <v>65</v>
      </c>
      <c r="J86" s="92">
        <f t="shared" ref="J86:J109" si="20">+G86*H86</f>
        <v>6215</v>
      </c>
      <c r="K86" s="93"/>
      <c r="N86" s="94" t="s">
        <v>80</v>
      </c>
    </row>
    <row r="87" spans="2:17" x14ac:dyDescent="0.25">
      <c r="B87" s="87" t="s">
        <v>120</v>
      </c>
      <c r="C87" s="95" t="s">
        <v>79</v>
      </c>
      <c r="D87" s="409" t="str">
        <f>M81</f>
        <v>BIS</v>
      </c>
      <c r="E87" s="320" t="s">
        <v>197</v>
      </c>
      <c r="F87" s="180"/>
      <c r="G87" s="179">
        <f>CEILING(M82*1.1,1)</f>
        <v>32</v>
      </c>
      <c r="H87" s="91">
        <f>'RESIN RATE'!D12</f>
        <v>565</v>
      </c>
      <c r="I87" s="39" t="s">
        <v>65</v>
      </c>
      <c r="J87" s="92">
        <f t="shared" si="20"/>
        <v>18080</v>
      </c>
      <c r="K87" s="93"/>
      <c r="N87" s="94" t="s">
        <v>80</v>
      </c>
    </row>
    <row r="88" spans="2:17" x14ac:dyDescent="0.25">
      <c r="B88" s="87" t="s">
        <v>121</v>
      </c>
      <c r="C88" s="95" t="s">
        <v>79</v>
      </c>
      <c r="D88" s="409" t="str">
        <f>N81</f>
        <v>BIS</v>
      </c>
      <c r="E88" s="320" t="s">
        <v>197</v>
      </c>
      <c r="F88" s="180"/>
      <c r="G88" s="179">
        <f>CEILING(N82*1.1,1)</f>
        <v>4</v>
      </c>
      <c r="H88" s="91">
        <f>'RESIN RATE'!D12</f>
        <v>565</v>
      </c>
      <c r="I88" s="39" t="s">
        <v>65</v>
      </c>
      <c r="J88" s="92">
        <f t="shared" si="20"/>
        <v>2260</v>
      </c>
      <c r="K88" s="93"/>
      <c r="N88" s="94" t="s">
        <v>80</v>
      </c>
    </row>
    <row r="89" spans="2:17" x14ac:dyDescent="0.25">
      <c r="B89" s="87" t="s">
        <v>122</v>
      </c>
      <c r="C89" s="310" t="s">
        <v>123</v>
      </c>
      <c r="D89" s="311"/>
      <c r="E89" s="294"/>
      <c r="F89" s="377"/>
      <c r="G89" s="54">
        <v>0</v>
      </c>
      <c r="H89" s="295">
        <f>CEILING(G85*100,50)</f>
        <v>500</v>
      </c>
      <c r="I89" s="55" t="s">
        <v>65</v>
      </c>
      <c r="J89" s="296">
        <f t="shared" si="20"/>
        <v>0</v>
      </c>
      <c r="K89" s="93"/>
      <c r="N89" s="94" t="s">
        <v>81</v>
      </c>
    </row>
    <row r="90" spans="2:17" s="49" customFormat="1" x14ac:dyDescent="0.25">
      <c r="B90" s="96" t="s">
        <v>124</v>
      </c>
      <c r="C90" s="310" t="s">
        <v>196</v>
      </c>
      <c r="D90" s="311"/>
      <c r="E90" s="294"/>
      <c r="F90" s="313"/>
      <c r="G90" s="54">
        <v>0</v>
      </c>
      <c r="H90" s="309">
        <f>CEILING((PI()*0.05*2.25*5+PI()*0.05*0.16*5*2)*H86,50)</f>
        <v>1150</v>
      </c>
      <c r="I90" s="55" t="s">
        <v>65</v>
      </c>
      <c r="J90" s="296">
        <f t="shared" si="20"/>
        <v>0</v>
      </c>
      <c r="K90" s="104"/>
      <c r="N90" s="103" t="s">
        <v>81</v>
      </c>
      <c r="Q90" s="49" t="s">
        <v>125</v>
      </c>
    </row>
    <row r="91" spans="2:17" x14ac:dyDescent="0.25">
      <c r="B91" s="87" t="s">
        <v>126</v>
      </c>
      <c r="C91" s="105" t="s">
        <v>68</v>
      </c>
      <c r="D91" s="106"/>
      <c r="E91" s="320"/>
      <c r="F91" s="180"/>
      <c r="G91" s="179">
        <v>1</v>
      </c>
      <c r="H91" s="107">
        <f>CEILING((SUM(J40:J78)*H85+SUM(M40:M65)*H86)*1.15,500)</f>
        <v>8500</v>
      </c>
      <c r="I91" s="39" t="s">
        <v>65</v>
      </c>
      <c r="J91" s="92">
        <f t="shared" si="20"/>
        <v>8500</v>
      </c>
      <c r="K91" s="93"/>
      <c r="N91" s="94" t="s">
        <v>80</v>
      </c>
    </row>
    <row r="92" spans="2:17" x14ac:dyDescent="0.25">
      <c r="B92" s="87" t="s">
        <v>127</v>
      </c>
      <c r="C92" s="108" t="s">
        <v>271</v>
      </c>
      <c r="D92" s="109"/>
      <c r="E92" s="320"/>
      <c r="F92" s="180"/>
      <c r="G92" s="179">
        <v>1</v>
      </c>
      <c r="H92" s="107">
        <f>CEILING((100*1+1800*1)*1.2,100)</f>
        <v>2300</v>
      </c>
      <c r="I92" s="39" t="s">
        <v>65</v>
      </c>
      <c r="J92" s="92">
        <f t="shared" si="20"/>
        <v>2300</v>
      </c>
      <c r="K92" s="93"/>
      <c r="N92" s="94" t="s">
        <v>81</v>
      </c>
    </row>
    <row r="93" spans="2:17" x14ac:dyDescent="0.25">
      <c r="B93" s="87" t="s">
        <v>128</v>
      </c>
      <c r="C93" s="108" t="s">
        <v>270</v>
      </c>
      <c r="D93" s="109"/>
      <c r="E93" s="320"/>
      <c r="F93" s="180"/>
      <c r="G93" s="179">
        <v>1</v>
      </c>
      <c r="H93" s="345">
        <f>CEILING((75*0+300*0+2500*1)*1.1,100)</f>
        <v>2800</v>
      </c>
      <c r="I93" s="39" t="s">
        <v>65</v>
      </c>
      <c r="J93" s="92">
        <f t="shared" si="20"/>
        <v>2800</v>
      </c>
      <c r="K93" s="93"/>
      <c r="N93" s="94" t="s">
        <v>81</v>
      </c>
    </row>
    <row r="94" spans="2:17" s="49" customFormat="1" x14ac:dyDescent="0.25">
      <c r="B94" s="96" t="s">
        <v>130</v>
      </c>
      <c r="C94" s="292" t="s">
        <v>131</v>
      </c>
      <c r="D94" s="293"/>
      <c r="E94" s="294"/>
      <c r="F94" s="313"/>
      <c r="G94" s="54">
        <v>0</v>
      </c>
      <c r="H94" s="295">
        <f>H92*0.9</f>
        <v>2070</v>
      </c>
      <c r="I94" s="55" t="s">
        <v>65</v>
      </c>
      <c r="J94" s="296">
        <f t="shared" si="20"/>
        <v>0</v>
      </c>
      <c r="K94" s="93"/>
      <c r="L94" s="325"/>
      <c r="N94" s="103" t="s">
        <v>81</v>
      </c>
    </row>
    <row r="95" spans="2:17" s="49" customFormat="1" x14ac:dyDescent="0.25">
      <c r="B95" s="96" t="s">
        <v>132</v>
      </c>
      <c r="C95" s="292" t="s">
        <v>133</v>
      </c>
      <c r="D95" s="293"/>
      <c r="E95" s="294"/>
      <c r="F95" s="313"/>
      <c r="G95" s="54">
        <v>0</v>
      </c>
      <c r="H95" s="295">
        <f>H93</f>
        <v>2800</v>
      </c>
      <c r="I95" s="55" t="s">
        <v>65</v>
      </c>
      <c r="J95" s="296">
        <f t="shared" si="20"/>
        <v>0</v>
      </c>
      <c r="K95" s="93"/>
      <c r="L95" s="325"/>
      <c r="N95" s="103" t="s">
        <v>81</v>
      </c>
    </row>
    <row r="96" spans="2:17" s="49" customFormat="1" x14ac:dyDescent="0.25">
      <c r="B96" s="96"/>
      <c r="C96" s="110" t="s">
        <v>134</v>
      </c>
      <c r="D96" s="111"/>
      <c r="E96" s="97"/>
      <c r="F96" s="98"/>
      <c r="G96" s="99">
        <v>1</v>
      </c>
      <c r="H96" s="100">
        <f>CEILING(PI()/4*(DIA^2)*12*2*80,50)</f>
        <v>550</v>
      </c>
      <c r="I96" s="101" t="s">
        <v>65</v>
      </c>
      <c r="J96" s="102">
        <f t="shared" si="20"/>
        <v>550</v>
      </c>
      <c r="K96" s="93"/>
      <c r="L96" s="325"/>
      <c r="N96" s="103" t="s">
        <v>81</v>
      </c>
    </row>
    <row r="97" spans="2:27" s="113" customFormat="1" x14ac:dyDescent="0.25">
      <c r="B97" s="87" t="s">
        <v>135</v>
      </c>
      <c r="C97" s="305" t="s">
        <v>136</v>
      </c>
      <c r="D97" s="306"/>
      <c r="E97" s="307"/>
      <c r="F97" s="308"/>
      <c r="G97" s="295">
        <v>0</v>
      </c>
      <c r="H97" s="309">
        <v>20000</v>
      </c>
      <c r="I97" s="55" t="s">
        <v>65</v>
      </c>
      <c r="J97" s="296">
        <f t="shared" si="20"/>
        <v>0</v>
      </c>
      <c r="K97" s="93"/>
      <c r="L97" s="325"/>
      <c r="M97" s="325"/>
      <c r="N97" s="112" t="s">
        <v>81</v>
      </c>
      <c r="P97" s="325"/>
      <c r="Q97" s="325"/>
      <c r="R97" s="325"/>
      <c r="S97" s="325"/>
      <c r="T97" s="325"/>
      <c r="U97" s="325"/>
      <c r="V97" s="325"/>
      <c r="W97" s="325"/>
      <c r="X97" s="325"/>
      <c r="Y97" s="325"/>
      <c r="Z97" s="325"/>
      <c r="AA97" s="325"/>
    </row>
    <row r="98" spans="2:27" x14ac:dyDescent="0.25">
      <c r="B98" s="87" t="s">
        <v>137</v>
      </c>
      <c r="C98" s="411" t="s">
        <v>89</v>
      </c>
      <c r="D98" s="391"/>
      <c r="E98" s="392"/>
      <c r="F98" s="393"/>
      <c r="G98" s="394">
        <v>4</v>
      </c>
      <c r="H98" s="395">
        <v>500</v>
      </c>
      <c r="I98" s="396" t="s">
        <v>65</v>
      </c>
      <c r="J98" s="397">
        <f t="shared" si="20"/>
        <v>2000</v>
      </c>
      <c r="K98" s="93"/>
      <c r="N98" s="94" t="s">
        <v>81</v>
      </c>
    </row>
    <row r="99" spans="2:27" x14ac:dyDescent="0.25">
      <c r="B99" s="87" t="s">
        <v>138</v>
      </c>
      <c r="C99" s="114" t="s">
        <v>139</v>
      </c>
      <c r="D99" s="115"/>
      <c r="E99" s="97"/>
      <c r="F99" s="98"/>
      <c r="G99" s="99">
        <v>3</v>
      </c>
      <c r="H99" s="100">
        <f>0.2*10*H86</f>
        <v>1130</v>
      </c>
      <c r="I99" s="101" t="s">
        <v>65</v>
      </c>
      <c r="J99" s="92">
        <f t="shared" si="20"/>
        <v>3390</v>
      </c>
      <c r="K99" s="38">
        <f>J99/H86</f>
        <v>6</v>
      </c>
      <c r="N99" s="94" t="s">
        <v>80</v>
      </c>
    </row>
    <row r="100" spans="2:27" x14ac:dyDescent="0.25">
      <c r="B100" s="87"/>
      <c r="C100" s="114" t="s">
        <v>140</v>
      </c>
      <c r="D100" s="115"/>
      <c r="E100" s="97"/>
      <c r="F100" s="98"/>
      <c r="G100" s="99">
        <v>3</v>
      </c>
      <c r="H100" s="100">
        <f>CEILING(2.4*110+0.9*H86,10)</f>
        <v>780</v>
      </c>
      <c r="I100" s="101" t="s">
        <v>65</v>
      </c>
      <c r="J100" s="92">
        <f>+G100*H100</f>
        <v>2340</v>
      </c>
      <c r="K100" s="38">
        <f>0.9*G100</f>
        <v>2.7</v>
      </c>
      <c r="N100" s="94" t="s">
        <v>82</v>
      </c>
    </row>
    <row r="101" spans="2:27" x14ac:dyDescent="0.25">
      <c r="B101" s="87" t="s">
        <v>141</v>
      </c>
      <c r="C101" s="297" t="s">
        <v>142</v>
      </c>
      <c r="D101" s="298"/>
      <c r="E101" s="299"/>
      <c r="F101" s="300"/>
      <c r="G101" s="301">
        <v>0</v>
      </c>
      <c r="H101" s="302">
        <f>CEILING((PI()*DIA*0.1*5+((0.2*0.2*18*2+0.15*0.15*12*2)*4))*8*75*1.25,500)</f>
        <v>7000</v>
      </c>
      <c r="I101" s="303" t="s">
        <v>65</v>
      </c>
      <c r="J101" s="304">
        <f t="shared" si="20"/>
        <v>0</v>
      </c>
      <c r="K101" s="93"/>
      <c r="N101" s="94" t="s">
        <v>82</v>
      </c>
    </row>
    <row r="102" spans="2:27" x14ac:dyDescent="0.25">
      <c r="B102" s="87" t="s">
        <v>143</v>
      </c>
      <c r="C102" s="292" t="s">
        <v>144</v>
      </c>
      <c r="D102" s="293"/>
      <c r="E102" s="294"/>
      <c r="F102" s="313"/>
      <c r="G102" s="54">
        <f>CEILING(PI()*DIA+HT,1)</f>
        <v>4</v>
      </c>
      <c r="H102" s="295">
        <v>0</v>
      </c>
      <c r="I102" s="55" t="s">
        <v>65</v>
      </c>
      <c r="J102" s="296">
        <f t="shared" si="20"/>
        <v>0</v>
      </c>
      <c r="K102" s="53">
        <f>+J102/250</f>
        <v>0</v>
      </c>
      <c r="N102" s="94" t="s">
        <v>82</v>
      </c>
    </row>
    <row r="103" spans="2:27" x14ac:dyDescent="0.25">
      <c r="B103" s="87" t="s">
        <v>145</v>
      </c>
      <c r="C103" s="108" t="s">
        <v>67</v>
      </c>
      <c r="D103" s="109"/>
      <c r="E103" s="320"/>
      <c r="F103" s="180"/>
      <c r="G103" s="179">
        <v>1</v>
      </c>
      <c r="H103" s="107">
        <v>750</v>
      </c>
      <c r="I103" s="39" t="s">
        <v>65</v>
      </c>
      <c r="J103" s="92">
        <f t="shared" si="20"/>
        <v>750</v>
      </c>
      <c r="K103" s="93"/>
      <c r="N103" s="94" t="s">
        <v>81</v>
      </c>
    </row>
    <row r="104" spans="2:27" x14ac:dyDescent="0.25">
      <c r="B104" s="87" t="s">
        <v>146</v>
      </c>
      <c r="C104" s="108" t="s">
        <v>147</v>
      </c>
      <c r="D104" s="109"/>
      <c r="E104" s="320"/>
      <c r="F104" s="180"/>
      <c r="G104" s="179">
        <v>0</v>
      </c>
      <c r="H104" s="107">
        <v>1000</v>
      </c>
      <c r="I104" s="39" t="s">
        <v>65</v>
      </c>
      <c r="J104" s="92">
        <f t="shared" si="20"/>
        <v>0</v>
      </c>
      <c r="K104" s="93"/>
      <c r="N104" s="94" t="s">
        <v>84</v>
      </c>
    </row>
    <row r="105" spans="2:27" x14ac:dyDescent="0.25">
      <c r="B105" s="87" t="s">
        <v>148</v>
      </c>
      <c r="C105" s="108" t="s">
        <v>69</v>
      </c>
      <c r="D105" s="109"/>
      <c r="E105" s="320"/>
      <c r="F105" s="180"/>
      <c r="G105" s="179">
        <v>1</v>
      </c>
      <c r="H105" s="107">
        <v>1500</v>
      </c>
      <c r="I105" s="39" t="s">
        <v>65</v>
      </c>
      <c r="J105" s="92">
        <f t="shared" si="20"/>
        <v>1500</v>
      </c>
      <c r="K105" s="93"/>
      <c r="N105" s="94" t="s">
        <v>83</v>
      </c>
    </row>
    <row r="106" spans="2:27" x14ac:dyDescent="0.25">
      <c r="B106" s="87" t="s">
        <v>149</v>
      </c>
      <c r="C106" s="292" t="s">
        <v>150</v>
      </c>
      <c r="D106" s="293"/>
      <c r="E106" s="294"/>
      <c r="F106" s="313"/>
      <c r="G106" s="54">
        <v>0</v>
      </c>
      <c r="H106" s="295">
        <v>2500</v>
      </c>
      <c r="I106" s="55" t="s">
        <v>65</v>
      </c>
      <c r="J106" s="296">
        <f t="shared" si="20"/>
        <v>0</v>
      </c>
      <c r="K106" s="93"/>
      <c r="N106" s="94" t="s">
        <v>83</v>
      </c>
    </row>
    <row r="107" spans="2:27" x14ac:dyDescent="0.25">
      <c r="B107" s="87" t="s">
        <v>151</v>
      </c>
      <c r="C107" s="108" t="s">
        <v>85</v>
      </c>
      <c r="D107" s="109"/>
      <c r="E107" s="320"/>
      <c r="F107" s="180"/>
      <c r="G107" s="179">
        <v>0</v>
      </c>
      <c r="H107" s="107">
        <v>0</v>
      </c>
      <c r="I107" s="39" t="s">
        <v>65</v>
      </c>
      <c r="J107" s="92">
        <f t="shared" si="20"/>
        <v>0</v>
      </c>
      <c r="N107" s="94" t="s">
        <v>86</v>
      </c>
    </row>
    <row r="108" spans="2:27" x14ac:dyDescent="0.25">
      <c r="B108" s="87" t="s">
        <v>152</v>
      </c>
      <c r="C108" s="182" t="s">
        <v>71</v>
      </c>
      <c r="D108" s="469">
        <f>+CEILING(M110,500)</f>
        <v>0</v>
      </c>
      <c r="E108" s="469"/>
      <c r="F108" s="180"/>
      <c r="G108" s="116">
        <v>0</v>
      </c>
      <c r="H108" s="107">
        <v>0</v>
      </c>
      <c r="I108" s="39" t="s">
        <v>65</v>
      </c>
      <c r="J108" s="92">
        <f t="shared" si="20"/>
        <v>0</v>
      </c>
      <c r="N108" s="94" t="s">
        <v>83</v>
      </c>
    </row>
    <row r="109" spans="2:27" x14ac:dyDescent="0.25">
      <c r="B109" s="87" t="s">
        <v>153</v>
      </c>
      <c r="C109" s="117" t="s">
        <v>72</v>
      </c>
      <c r="D109" s="118"/>
      <c r="E109" s="22"/>
      <c r="G109" s="116">
        <v>0</v>
      </c>
      <c r="H109" s="107">
        <v>0</v>
      </c>
      <c r="I109" s="39" t="s">
        <v>65</v>
      </c>
      <c r="J109" s="92">
        <f t="shared" si="20"/>
        <v>0</v>
      </c>
      <c r="N109" s="94" t="s">
        <v>83</v>
      </c>
    </row>
    <row r="110" spans="2:27" x14ac:dyDescent="0.25">
      <c r="B110" s="470" t="s">
        <v>66</v>
      </c>
      <c r="C110" s="471"/>
      <c r="D110" s="471"/>
      <c r="E110" s="471"/>
      <c r="F110" s="471"/>
      <c r="G110" s="471"/>
      <c r="H110" s="472"/>
      <c r="I110" s="119" t="s">
        <v>65</v>
      </c>
      <c r="J110" s="120">
        <f>SUM(J85:J109)</f>
        <v>50685</v>
      </c>
      <c r="K110" s="121">
        <f>J110+J113</f>
        <v>59185</v>
      </c>
      <c r="N110" s="53"/>
    </row>
    <row r="111" spans="2:27" x14ac:dyDescent="0.25">
      <c r="B111" s="314"/>
      <c r="C111" s="315"/>
      <c r="D111" s="122"/>
      <c r="E111" s="122"/>
      <c r="F111" s="122"/>
      <c r="G111" s="122"/>
      <c r="H111" s="122"/>
      <c r="I111" s="123"/>
      <c r="J111" s="124">
        <v>0.57999999999999996</v>
      </c>
      <c r="K111" s="93"/>
      <c r="N111" s="53"/>
    </row>
    <row r="112" spans="2:27" x14ac:dyDescent="0.25">
      <c r="B112" s="341"/>
      <c r="C112" s="342"/>
      <c r="D112" s="122"/>
      <c r="E112" s="122"/>
      <c r="F112" s="122"/>
      <c r="G112" s="122"/>
      <c r="H112" s="122"/>
      <c r="I112" s="340" t="s">
        <v>70</v>
      </c>
      <c r="J112" s="120">
        <f>J110/J111</f>
        <v>87387.931034482768</v>
      </c>
      <c r="K112" s="93"/>
      <c r="N112" s="53"/>
    </row>
    <row r="113" spans="2:22" x14ac:dyDescent="0.25">
      <c r="B113" s="343"/>
      <c r="C113" s="343"/>
      <c r="D113" s="123"/>
      <c r="E113" s="123"/>
      <c r="F113" s="123"/>
      <c r="G113" s="123"/>
      <c r="I113" s="340" t="s">
        <v>259</v>
      </c>
      <c r="J113" s="120">
        <v>8500</v>
      </c>
      <c r="K113" s="93"/>
      <c r="N113" s="53"/>
    </row>
    <row r="114" spans="2:22" x14ac:dyDescent="0.25">
      <c r="B114" s="344"/>
      <c r="C114" s="343"/>
      <c r="D114" s="93"/>
      <c r="E114" s="93"/>
      <c r="F114" s="93"/>
      <c r="G114" s="93"/>
      <c r="H114" s="125"/>
      <c r="I114" s="125"/>
      <c r="J114" s="126">
        <f>J112+J113</f>
        <v>95887.931034482768</v>
      </c>
      <c r="K114" s="125"/>
      <c r="N114" s="93"/>
    </row>
    <row r="115" spans="2:22" x14ac:dyDescent="0.25">
      <c r="B115" s="344"/>
      <c r="C115" s="343"/>
      <c r="D115" s="93"/>
      <c r="I115" s="329"/>
      <c r="J115" s="127">
        <v>0.9</v>
      </c>
      <c r="K115" s="128"/>
      <c r="S115" s="129" t="s">
        <v>154</v>
      </c>
      <c r="T115" s="129" t="s">
        <v>155</v>
      </c>
      <c r="U115" s="130" t="s">
        <v>156</v>
      </c>
    </row>
    <row r="116" spans="2:22" ht="18" x14ac:dyDescent="0.25">
      <c r="B116" s="344"/>
      <c r="C116" s="343"/>
      <c r="I116" s="329"/>
      <c r="J116" s="131">
        <f>CEILING(J114/J115,500)</f>
        <v>107000</v>
      </c>
      <c r="K116" s="125"/>
      <c r="R116" s="132" t="str">
        <f>+D86</f>
        <v>BIS</v>
      </c>
      <c r="S116" s="133">
        <f>+L80+G86</f>
        <v>11</v>
      </c>
      <c r="T116" s="134">
        <v>122</v>
      </c>
      <c r="U116" s="92">
        <f>+S116*T116</f>
        <v>1342</v>
      </c>
    </row>
    <row r="117" spans="2:22" x14ac:dyDescent="0.25">
      <c r="B117" s="344"/>
      <c r="C117" s="343"/>
      <c r="I117" s="329"/>
      <c r="J117" s="53"/>
      <c r="R117" s="132" t="str">
        <f>+D87</f>
        <v>BIS</v>
      </c>
      <c r="S117" s="133">
        <f>+G87</f>
        <v>32</v>
      </c>
      <c r="T117" s="134">
        <v>122</v>
      </c>
      <c r="U117" s="92">
        <f>+S117*T117</f>
        <v>3904</v>
      </c>
    </row>
    <row r="118" spans="2:22" x14ac:dyDescent="0.25">
      <c r="B118" s="26"/>
      <c r="C118" s="458" t="str">
        <f>D4</f>
        <v>M/s PARAMOUNT</v>
      </c>
      <c r="D118" s="458"/>
      <c r="E118" s="458"/>
      <c r="F118" s="458"/>
      <c r="G118" s="491" t="str">
        <f>M2</f>
        <v>R1</v>
      </c>
      <c r="H118" s="494" t="str">
        <f>N2</f>
        <v>03 &amp; 06</v>
      </c>
      <c r="I118" s="473">
        <f>D2</f>
        <v>44530</v>
      </c>
      <c r="J118" s="329"/>
      <c r="K118" s="329"/>
      <c r="S118" s="129"/>
      <c r="T118" s="135"/>
      <c r="U118" s="136">
        <f>SUM(U116:U117)</f>
        <v>5246</v>
      </c>
      <c r="V118" s="113"/>
    </row>
    <row r="119" spans="2:22" x14ac:dyDescent="0.25">
      <c r="B119" s="26"/>
      <c r="C119" s="428" t="str">
        <f>D6</f>
        <v>ACID MEASURING TANK (MB)</v>
      </c>
      <c r="D119" s="429"/>
      <c r="E119" s="429"/>
      <c r="F119" s="430"/>
      <c r="G119" s="492"/>
      <c r="H119" s="495"/>
      <c r="I119" s="474"/>
      <c r="J119" s="329"/>
      <c r="K119" s="329"/>
      <c r="S119" s="129"/>
      <c r="T119" s="135"/>
      <c r="U119" s="136"/>
      <c r="V119" s="113"/>
    </row>
    <row r="120" spans="2:22" x14ac:dyDescent="0.25">
      <c r="B120" s="26"/>
      <c r="C120" s="431" t="str">
        <f>D20</f>
        <v>M.O.C- FRP (BISPHENOL)</v>
      </c>
      <c r="D120" s="432"/>
      <c r="E120" s="432"/>
      <c r="F120" s="433"/>
      <c r="G120" s="493"/>
      <c r="H120" s="496"/>
      <c r="I120" s="475"/>
      <c r="J120" s="329"/>
      <c r="K120" s="329"/>
      <c r="S120" s="129"/>
      <c r="T120" s="137">
        <f>+B113</f>
        <v>0</v>
      </c>
      <c r="U120" s="138">
        <f>+C113</f>
        <v>0</v>
      </c>
    </row>
    <row r="121" spans="2:22" ht="20.25" x14ac:dyDescent="0.25">
      <c r="B121" s="26"/>
      <c r="C121" s="319" t="s">
        <v>91</v>
      </c>
      <c r="D121" s="355">
        <f>D5</f>
        <v>0.33929200658769765</v>
      </c>
      <c r="E121" s="320" t="s">
        <v>92</v>
      </c>
      <c r="F121" s="321"/>
      <c r="G121" s="330"/>
      <c r="H121" s="318"/>
      <c r="I121" s="317"/>
      <c r="J121" s="329"/>
      <c r="K121" s="329"/>
      <c r="S121" s="129"/>
      <c r="T121" s="137"/>
      <c r="U121" s="138"/>
    </row>
    <row r="122" spans="2:22" s="327" customFormat="1" ht="17.25" customHeight="1" x14ac:dyDescent="0.25">
      <c r="B122" s="139"/>
      <c r="C122" s="205"/>
      <c r="D122" s="207" t="s">
        <v>154</v>
      </c>
      <c r="E122" s="437" t="s">
        <v>195</v>
      </c>
      <c r="F122" s="438"/>
      <c r="G122" s="208" t="s">
        <v>156</v>
      </c>
      <c r="H122" s="127" t="s">
        <v>159</v>
      </c>
      <c r="I122" s="127" t="s">
        <v>160</v>
      </c>
      <c r="J122" s="6"/>
      <c r="K122" s="6"/>
      <c r="S122" s="140"/>
      <c r="T122" s="141">
        <f>+B116</f>
        <v>0</v>
      </c>
      <c r="U122" s="143">
        <f>+C116</f>
        <v>0</v>
      </c>
      <c r="V122" s="27"/>
    </row>
    <row r="123" spans="2:22" s="327" customFormat="1" ht="17.25" customHeight="1" x14ac:dyDescent="0.25">
      <c r="B123" s="139"/>
      <c r="C123" s="205">
        <f>D22</f>
        <v>0</v>
      </c>
      <c r="D123" s="333">
        <f>CEILING(G85+J80,1)</f>
        <v>7</v>
      </c>
      <c r="E123" s="134">
        <f>'RESIN RATE'!E6</f>
        <v>0</v>
      </c>
      <c r="F123" s="144">
        <f>D123*E123</f>
        <v>0</v>
      </c>
      <c r="G123" s="144">
        <f>F123</f>
        <v>0</v>
      </c>
      <c r="H123" s="334">
        <v>0.6</v>
      </c>
      <c r="I123" s="92">
        <f>G123/H123</f>
        <v>0</v>
      </c>
      <c r="J123" s="6"/>
      <c r="K123" s="6"/>
      <c r="S123" s="140"/>
      <c r="T123" s="141"/>
      <c r="U123" s="143"/>
      <c r="V123" s="27"/>
    </row>
    <row r="124" spans="2:22" ht="17.25" customHeight="1" x14ac:dyDescent="0.25">
      <c r="B124" s="26"/>
      <c r="C124" s="211" t="str">
        <f>D86</f>
        <v>BIS</v>
      </c>
      <c r="D124" s="145">
        <f>G86+G87+G88+M80+K90+K99+K100</f>
        <v>71.924999999999997</v>
      </c>
      <c r="E124" s="134">
        <f>'RESIN RATE'!D6</f>
        <v>325</v>
      </c>
      <c r="F124" s="144">
        <f>+D124*E124</f>
        <v>23375.625</v>
      </c>
      <c r="G124" s="436">
        <f>SUM(F124:F125)</f>
        <v>23375.625</v>
      </c>
      <c r="H124" s="435">
        <v>0.45</v>
      </c>
      <c r="I124" s="434">
        <f>G124/H124</f>
        <v>51945.833333333328</v>
      </c>
      <c r="J124" s="329"/>
      <c r="K124" s="329"/>
      <c r="S124" s="129"/>
      <c r="T124" s="135" t="e">
        <f>+#REF!</f>
        <v>#REF!</v>
      </c>
      <c r="U124" s="137" t="e">
        <f>+#REF!</f>
        <v>#REF!</v>
      </c>
      <c r="V124" s="146"/>
    </row>
    <row r="125" spans="2:22" x14ac:dyDescent="0.25">
      <c r="B125" s="147"/>
      <c r="C125" s="211" t="str">
        <f>D88</f>
        <v>BIS</v>
      </c>
      <c r="D125" s="145">
        <v>0</v>
      </c>
      <c r="E125" s="134">
        <f>'RESIN RATE'!D6</f>
        <v>325</v>
      </c>
      <c r="F125" s="144">
        <f t="shared" ref="F125:F127" si="21">+D125*E125</f>
        <v>0</v>
      </c>
      <c r="G125" s="436"/>
      <c r="H125" s="435"/>
      <c r="I125" s="434"/>
      <c r="J125" s="329"/>
      <c r="K125" s="329"/>
      <c r="S125" s="146"/>
      <c r="T125" s="129"/>
      <c r="U125" s="148" t="e">
        <f>+U118+#REF!</f>
        <v>#REF!</v>
      </c>
      <c r="V125" s="146"/>
    </row>
    <row r="126" spans="2:22" x14ac:dyDescent="0.25">
      <c r="B126" s="147"/>
      <c r="C126" s="150" t="s">
        <v>157</v>
      </c>
      <c r="D126" s="145">
        <f>(D124+D125)*0.5</f>
        <v>35.962499999999999</v>
      </c>
      <c r="E126" s="134">
        <v>198</v>
      </c>
      <c r="F126" s="144">
        <f t="shared" si="21"/>
        <v>7120.5749999999998</v>
      </c>
      <c r="G126" s="436">
        <f>SUM(F126:F127)</f>
        <v>8559.0750000000007</v>
      </c>
      <c r="H126" s="435">
        <v>0.55000000000000004</v>
      </c>
      <c r="I126" s="434">
        <f>G126/H126</f>
        <v>15561.954545454546</v>
      </c>
      <c r="J126" s="329"/>
      <c r="K126" s="329"/>
    </row>
    <row r="127" spans="2:22" x14ac:dyDescent="0.25">
      <c r="B127" s="147"/>
      <c r="C127" s="150" t="s">
        <v>158</v>
      </c>
      <c r="D127" s="145">
        <f>+D125+D124</f>
        <v>71.924999999999997</v>
      </c>
      <c r="E127" s="134">
        <v>20</v>
      </c>
      <c r="F127" s="144">
        <f t="shared" si="21"/>
        <v>1438.5</v>
      </c>
      <c r="G127" s="436"/>
      <c r="H127" s="435"/>
      <c r="I127" s="434"/>
      <c r="J127" s="329"/>
      <c r="K127" s="329"/>
    </row>
    <row r="128" spans="2:22" x14ac:dyDescent="0.25">
      <c r="B128" s="147"/>
      <c r="C128" s="339" t="s">
        <v>264</v>
      </c>
      <c r="D128" s="145">
        <v>1</v>
      </c>
      <c r="E128" s="134"/>
      <c r="F128" s="144">
        <f>J89</f>
        <v>0</v>
      </c>
      <c r="G128" s="316">
        <f>F128</f>
        <v>0</v>
      </c>
      <c r="H128" s="338">
        <v>0.6</v>
      </c>
      <c r="I128" s="336">
        <f>G128/H128</f>
        <v>0</v>
      </c>
      <c r="J128" s="329"/>
      <c r="K128" s="329"/>
    </row>
    <row r="129" spans="2:11" x14ac:dyDescent="0.25">
      <c r="B129" s="147"/>
      <c r="C129" s="479" t="s">
        <v>81</v>
      </c>
      <c r="D129" s="198" t="s">
        <v>260</v>
      </c>
      <c r="E129" s="134"/>
      <c r="F129" s="92">
        <f>J92+J94</f>
        <v>2300</v>
      </c>
      <c r="G129" s="482">
        <f>SUM(F129:F137)</f>
        <v>12990</v>
      </c>
      <c r="H129" s="488">
        <v>0.7</v>
      </c>
      <c r="I129" s="485">
        <f>G129/H129</f>
        <v>18557.142857142859</v>
      </c>
      <c r="J129" s="329"/>
      <c r="K129" s="329"/>
    </row>
    <row r="130" spans="2:11" x14ac:dyDescent="0.25">
      <c r="B130" s="147"/>
      <c r="C130" s="480"/>
      <c r="D130" s="198" t="s">
        <v>261</v>
      </c>
      <c r="E130" s="134"/>
      <c r="F130" s="92">
        <f>J93+J95</f>
        <v>2800</v>
      </c>
      <c r="G130" s="483"/>
      <c r="H130" s="489"/>
      <c r="I130" s="486"/>
      <c r="J130" s="329"/>
      <c r="K130" s="329"/>
    </row>
    <row r="131" spans="2:11" x14ac:dyDescent="0.25">
      <c r="B131" s="26"/>
      <c r="C131" s="480"/>
      <c r="D131" s="149" t="s">
        <v>162</v>
      </c>
      <c r="E131" s="134"/>
      <c r="F131" s="92">
        <f>J100</f>
        <v>2340</v>
      </c>
      <c r="G131" s="483"/>
      <c r="H131" s="489"/>
      <c r="I131" s="486"/>
      <c r="J131" s="329"/>
      <c r="K131" s="329"/>
    </row>
    <row r="132" spans="2:11" ht="25.5" x14ac:dyDescent="0.25">
      <c r="B132" s="26"/>
      <c r="C132" s="480"/>
      <c r="D132" s="149" t="s">
        <v>134</v>
      </c>
      <c r="E132" s="134"/>
      <c r="F132" s="92">
        <f>J96</f>
        <v>550</v>
      </c>
      <c r="G132" s="483"/>
      <c r="H132" s="489"/>
      <c r="I132" s="486"/>
      <c r="J132" s="329"/>
      <c r="K132" s="329"/>
    </row>
    <row r="133" spans="2:11" s="382" customFormat="1" x14ac:dyDescent="0.25">
      <c r="B133" s="26"/>
      <c r="C133" s="480"/>
      <c r="D133" s="410" t="s">
        <v>321</v>
      </c>
      <c r="E133" s="134"/>
      <c r="F133" s="92">
        <f>J98</f>
        <v>2000</v>
      </c>
      <c r="G133" s="483"/>
      <c r="H133" s="489"/>
      <c r="I133" s="486"/>
      <c r="J133" s="383"/>
      <c r="K133" s="383"/>
    </row>
    <row r="134" spans="2:11" x14ac:dyDescent="0.25">
      <c r="B134" s="26"/>
      <c r="C134" s="480"/>
      <c r="D134" s="149" t="s">
        <v>84</v>
      </c>
      <c r="E134" s="134"/>
      <c r="F134" s="92">
        <f t="shared" ref="F134" si="22">J103</f>
        <v>750</v>
      </c>
      <c r="G134" s="483"/>
      <c r="H134" s="489"/>
      <c r="I134" s="486"/>
      <c r="J134" s="329"/>
      <c r="K134" s="329"/>
    </row>
    <row r="135" spans="2:11" x14ac:dyDescent="0.25">
      <c r="B135" s="26"/>
      <c r="C135" s="480"/>
      <c r="D135" s="149" t="s">
        <v>268</v>
      </c>
      <c r="E135" s="134"/>
      <c r="F135" s="92">
        <f>J103</f>
        <v>750</v>
      </c>
      <c r="G135" s="483"/>
      <c r="H135" s="489"/>
      <c r="I135" s="486"/>
      <c r="J135" s="329"/>
      <c r="K135" s="329"/>
    </row>
    <row r="136" spans="2:11" x14ac:dyDescent="0.25">
      <c r="B136" s="26"/>
      <c r="C136" s="480"/>
      <c r="D136" s="149" t="s">
        <v>262</v>
      </c>
      <c r="E136" s="134"/>
      <c r="F136" s="92">
        <f>J105</f>
        <v>1500</v>
      </c>
      <c r="G136" s="483"/>
      <c r="H136" s="489"/>
      <c r="I136" s="486"/>
      <c r="J136" s="329"/>
      <c r="K136" s="329"/>
    </row>
    <row r="137" spans="2:11" ht="15" customHeight="1" x14ac:dyDescent="0.25">
      <c r="C137" s="481"/>
      <c r="D137" s="337" t="s">
        <v>263</v>
      </c>
      <c r="E137" s="337"/>
      <c r="F137" s="92">
        <f>J106</f>
        <v>0</v>
      </c>
      <c r="G137" s="484"/>
      <c r="H137" s="490"/>
      <c r="I137" s="487"/>
      <c r="J137" s="329"/>
      <c r="K137" s="329"/>
    </row>
    <row r="138" spans="2:11" ht="15.75" x14ac:dyDescent="0.25">
      <c r="B138" s="26"/>
      <c r="C138" s="179"/>
      <c r="D138" s="179"/>
      <c r="E138" s="179"/>
      <c r="F138" s="153" t="s">
        <v>57</v>
      </c>
      <c r="G138" s="153">
        <f>SUM(G124:G137)</f>
        <v>44924.7</v>
      </c>
      <c r="H138" s="200">
        <f>G138/I138</f>
        <v>0.51936069364161841</v>
      </c>
      <c r="I138" s="153">
        <f>CEILING(SUM(I123:I137),500)</f>
        <v>86500</v>
      </c>
      <c r="J138" s="146"/>
      <c r="K138" s="329"/>
    </row>
    <row r="139" spans="2:11" x14ac:dyDescent="0.25">
      <c r="B139" s="26"/>
      <c r="C139" s="193" t="s">
        <v>70</v>
      </c>
      <c r="D139" s="194" t="s">
        <v>312</v>
      </c>
      <c r="E139" s="195"/>
      <c r="F139" s="196"/>
      <c r="G139" s="197"/>
      <c r="H139" s="217"/>
      <c r="I139" s="151">
        <v>9500</v>
      </c>
      <c r="J139" s="6"/>
      <c r="K139" s="6"/>
    </row>
    <row r="140" spans="2:11" ht="22.5" customHeight="1" x14ac:dyDescent="0.25">
      <c r="B140" s="155"/>
      <c r="F140" s="152"/>
      <c r="G140" s="152"/>
      <c r="H140" s="218">
        <f>G138/I140</f>
        <v>0.467965625</v>
      </c>
      <c r="I140" s="199">
        <f>I138+I139</f>
        <v>96000</v>
      </c>
      <c r="J140" s="146"/>
      <c r="K140" s="329"/>
    </row>
    <row r="141" spans="2:11" ht="15.75" x14ac:dyDescent="0.25">
      <c r="C141" s="456" t="s">
        <v>164</v>
      </c>
      <c r="D141" s="457">
        <f>G138+I139</f>
        <v>54424.7</v>
      </c>
      <c r="H141" s="142" t="s">
        <v>163</v>
      </c>
      <c r="I141" s="154">
        <v>0.9</v>
      </c>
      <c r="J141" s="146"/>
      <c r="K141" s="329"/>
    </row>
    <row r="142" spans="2:11" ht="18" x14ac:dyDescent="0.25">
      <c r="C142" s="456"/>
      <c r="D142" s="457"/>
      <c r="H142" s="218">
        <f>G138/I142</f>
        <v>0.41985700934579434</v>
      </c>
      <c r="I142" s="156">
        <f>CEILING(I140/I141,500)</f>
        <v>107000</v>
      </c>
      <c r="J142" s="209"/>
      <c r="K142" s="210"/>
    </row>
  </sheetData>
  <sheetProtection selectLockedCells="1"/>
  <autoFilter ref="L84:N115"/>
  <mergeCells count="41">
    <mergeCell ref="M2:M4"/>
    <mergeCell ref="N2:N4"/>
    <mergeCell ref="J5:J7"/>
    <mergeCell ref="L5:L7"/>
    <mergeCell ref="R8:R10"/>
    <mergeCell ref="Z37:AA37"/>
    <mergeCell ref="AB37:AC37"/>
    <mergeCell ref="AD37:AE37"/>
    <mergeCell ref="V58:W58"/>
    <mergeCell ref="F10:G12"/>
    <mergeCell ref="J11:L11"/>
    <mergeCell ref="J12:L12"/>
    <mergeCell ref="J13:L13"/>
    <mergeCell ref="J14:L14"/>
    <mergeCell ref="D21:G21"/>
    <mergeCell ref="H21:H22"/>
    <mergeCell ref="I21:I22"/>
    <mergeCell ref="T8:T10"/>
    <mergeCell ref="I118:I120"/>
    <mergeCell ref="C119:F119"/>
    <mergeCell ref="C120:F120"/>
    <mergeCell ref="V37:W37"/>
    <mergeCell ref="X37:Y37"/>
    <mergeCell ref="D108:E108"/>
    <mergeCell ref="B110:H110"/>
    <mergeCell ref="C118:F118"/>
    <mergeCell ref="G118:G120"/>
    <mergeCell ref="H118:H120"/>
    <mergeCell ref="E122:F122"/>
    <mergeCell ref="G124:G125"/>
    <mergeCell ref="H124:H125"/>
    <mergeCell ref="I124:I125"/>
    <mergeCell ref="G126:G127"/>
    <mergeCell ref="H126:H127"/>
    <mergeCell ref="I126:I127"/>
    <mergeCell ref="C129:C137"/>
    <mergeCell ref="G129:G137"/>
    <mergeCell ref="H129:H137"/>
    <mergeCell ref="I129:I137"/>
    <mergeCell ref="C141:C142"/>
    <mergeCell ref="D141:D142"/>
  </mergeCells>
  <dataValidations count="2">
    <dataValidation type="list" allowBlank="1" showInputMessage="1" showErrorMessage="1" sqref="H61:H78">
      <formula1>$P$60:$P$78</formula1>
    </dataValidation>
    <dataValidation type="list" allowBlank="1" showInputMessage="1" showErrorMessage="1" sqref="H40:H57">
      <formula1>$P$40:$P$57</formula1>
    </dataValidation>
  </dataValidations>
  <printOptions horizontalCentered="1" verticalCentered="1"/>
  <pageMargins left="0.39370078740157483" right="0.19685039370078741" top="0.19685039370078741" bottom="0.19685039370078741" header="0" footer="0"/>
  <pageSetup paperSize="9" scale="5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B1:AE143"/>
  <sheetViews>
    <sheetView view="pageBreakPreview" topLeftCell="B133" zoomScaleNormal="115" zoomScaleSheetLayoutView="100" workbookViewId="0">
      <selection activeCell="O135" sqref="O135"/>
    </sheetView>
  </sheetViews>
  <sheetFormatPr defaultColWidth="9.140625" defaultRowHeight="15" x14ac:dyDescent="0.25"/>
  <cols>
    <col min="1" max="1" width="3.42578125" style="325" customWidth="1"/>
    <col min="2" max="2" width="7.140625" style="325" customWidth="1"/>
    <col min="3" max="3" width="12.5703125" style="325" customWidth="1"/>
    <col min="4" max="4" width="12.85546875" style="325" customWidth="1"/>
    <col min="5" max="5" width="9" style="325" customWidth="1"/>
    <col min="6" max="6" width="13.42578125" style="325" customWidth="1"/>
    <col min="7" max="7" width="13" style="325" customWidth="1"/>
    <col min="8" max="8" width="13.7109375" style="329" customWidth="1"/>
    <col min="9" max="9" width="17.42578125" style="325" customWidth="1"/>
    <col min="10" max="12" width="11.28515625" style="325" customWidth="1"/>
    <col min="13" max="13" width="11" style="325" customWidth="1"/>
    <col min="14" max="14" width="10.7109375" style="325" customWidth="1"/>
    <col min="15" max="15" width="12.7109375" style="325" bestFit="1" customWidth="1"/>
    <col min="16" max="16" width="9.7109375" style="325" bestFit="1" customWidth="1"/>
    <col min="17" max="17" width="9.28515625" style="325" bestFit="1" customWidth="1"/>
    <col min="18" max="18" width="9" style="325" bestFit="1" customWidth="1"/>
    <col min="19" max="19" width="12.28515625" style="325" bestFit="1" customWidth="1"/>
    <col min="20" max="20" width="8" style="325" bestFit="1" customWidth="1"/>
    <col min="21" max="21" width="9.5703125" style="325" customWidth="1"/>
    <col min="22" max="22" width="3.42578125" style="325" bestFit="1" customWidth="1"/>
    <col min="23" max="23" width="4.42578125" style="325" bestFit="1" customWidth="1"/>
    <col min="24" max="24" width="3.42578125" style="325" bestFit="1" customWidth="1"/>
    <col min="25" max="25" width="4.42578125" style="325" bestFit="1" customWidth="1"/>
    <col min="26" max="29" width="6.7109375" style="325" bestFit="1" customWidth="1"/>
    <col min="30" max="30" width="9.7109375" style="325" bestFit="1" customWidth="1"/>
    <col min="31" max="31" width="15.85546875" style="325" bestFit="1" customWidth="1"/>
    <col min="32" max="16384" width="9.140625" style="325"/>
  </cols>
  <sheetData>
    <row r="1" spans="3:20" s="382" customFormat="1" x14ac:dyDescent="0.25">
      <c r="C1" s="5" t="s">
        <v>61</v>
      </c>
      <c r="D1" s="203">
        <f>'01_1.35 KL'!D1</f>
        <v>44551</v>
      </c>
      <c r="E1" s="412" t="s">
        <v>320</v>
      </c>
      <c r="H1" s="383"/>
    </row>
    <row r="2" spans="3:20" ht="15" customHeight="1" x14ac:dyDescent="0.25">
      <c r="C2" s="5" t="s">
        <v>61</v>
      </c>
      <c r="D2" s="203">
        <f>'01_1.35 KL'!D2</f>
        <v>44530</v>
      </c>
      <c r="E2" s="412" t="s">
        <v>335</v>
      </c>
      <c r="F2" s="203"/>
      <c r="G2" s="203"/>
      <c r="I2" s="329"/>
      <c r="J2" s="6"/>
      <c r="K2" s="6"/>
      <c r="L2" s="7"/>
      <c r="M2" s="500" t="str">
        <f>'01_1.35 KL'!M2:M4</f>
        <v>R1</v>
      </c>
      <c r="N2" s="501" t="s">
        <v>200</v>
      </c>
    </row>
    <row r="3" spans="3:20" ht="15.75" customHeight="1" x14ac:dyDescent="0.25">
      <c r="C3" s="5" t="s">
        <v>73</v>
      </c>
      <c r="D3" s="5" t="s">
        <v>231</v>
      </c>
      <c r="E3" s="5"/>
      <c r="F3" s="8"/>
      <c r="G3" s="8"/>
      <c r="H3" s="9"/>
      <c r="I3" s="8"/>
      <c r="J3" s="8"/>
      <c r="K3" s="8"/>
      <c r="L3" s="7"/>
      <c r="M3" s="500"/>
      <c r="N3" s="502"/>
    </row>
    <row r="4" spans="3:20" ht="15.75" customHeight="1" x14ac:dyDescent="0.25">
      <c r="C4" s="5" t="s">
        <v>74</v>
      </c>
      <c r="D4" s="5" t="s">
        <v>232</v>
      </c>
      <c r="E4" s="5"/>
      <c r="F4" s="5"/>
      <c r="G4" s="5"/>
      <c r="H4" s="5"/>
      <c r="I4" s="5"/>
      <c r="J4" s="5"/>
      <c r="K4" s="9"/>
      <c r="L4" s="7"/>
      <c r="M4" s="500"/>
      <c r="N4" s="502"/>
    </row>
    <row r="5" spans="3:20" ht="15.75" customHeight="1" x14ac:dyDescent="0.25">
      <c r="C5" s="5" t="s">
        <v>91</v>
      </c>
      <c r="D5" s="206">
        <f>M11</f>
        <v>0.94247779607693793</v>
      </c>
      <c r="E5" s="6" t="s">
        <v>92</v>
      </c>
      <c r="F5" s="329"/>
      <c r="G5" s="329"/>
      <c r="I5" s="329"/>
      <c r="J5" s="454"/>
      <c r="K5" s="329"/>
      <c r="L5" s="454"/>
      <c r="M5" s="10"/>
    </row>
    <row r="6" spans="3:20" ht="15.75" customHeight="1" x14ac:dyDescent="0.25">
      <c r="C6" s="5" t="s">
        <v>93</v>
      </c>
      <c r="D6" s="5" t="s">
        <v>240</v>
      </c>
      <c r="E6" s="6"/>
      <c r="F6" s="329"/>
      <c r="G6" s="329"/>
      <c r="I6" s="329"/>
      <c r="J6" s="454"/>
      <c r="K6" s="329"/>
      <c r="L6" s="454"/>
      <c r="M6" s="10"/>
      <c r="N6" s="332"/>
      <c r="O6" s="328"/>
    </row>
    <row r="7" spans="3:20" ht="15" customHeight="1" x14ac:dyDescent="0.25">
      <c r="D7" s="178"/>
      <c r="E7" s="5"/>
      <c r="F7" s="5"/>
      <c r="G7" s="5"/>
      <c r="I7" s="329"/>
      <c r="J7" s="455"/>
      <c r="K7" s="329"/>
      <c r="L7" s="455"/>
      <c r="N7" s="7"/>
    </row>
    <row r="8" spans="3:20" x14ac:dyDescent="0.25">
      <c r="D8" s="5"/>
      <c r="J8" s="11"/>
      <c r="K8" s="12"/>
      <c r="L8" s="13"/>
      <c r="R8" s="442"/>
      <c r="S8" s="323"/>
      <c r="T8" s="442"/>
    </row>
    <row r="9" spans="3:20" x14ac:dyDescent="0.25">
      <c r="D9" s="5"/>
      <c r="J9" s="324"/>
      <c r="L9" s="326"/>
      <c r="R9" s="442"/>
      <c r="S9" s="323"/>
      <c r="T9" s="442"/>
    </row>
    <row r="10" spans="3:20" x14ac:dyDescent="0.25">
      <c r="C10" s="14" t="s">
        <v>94</v>
      </c>
      <c r="D10" s="15">
        <f>+J13/1000</f>
        <v>1</v>
      </c>
      <c r="E10" s="327"/>
      <c r="F10" s="468" t="s">
        <v>274</v>
      </c>
      <c r="G10" s="468"/>
      <c r="J10" s="324"/>
      <c r="L10" s="326"/>
      <c r="R10" s="442"/>
      <c r="S10" s="323"/>
      <c r="T10" s="442"/>
    </row>
    <row r="11" spans="3:20" x14ac:dyDescent="0.25">
      <c r="C11" s="14" t="s">
        <v>95</v>
      </c>
      <c r="D11" s="15">
        <f>+I13/1000</f>
        <v>1.2</v>
      </c>
      <c r="E11" s="327"/>
      <c r="F11" s="468"/>
      <c r="G11" s="468"/>
      <c r="J11" s="443"/>
      <c r="K11" s="444"/>
      <c r="L11" s="445"/>
      <c r="M11" s="16">
        <f>(PI()/4)*(DIA^2)*HT</f>
        <v>0.94247779607693793</v>
      </c>
    </row>
    <row r="12" spans="3:20" x14ac:dyDescent="0.25">
      <c r="C12" s="17" t="s">
        <v>5</v>
      </c>
      <c r="D12" s="18">
        <v>15</v>
      </c>
      <c r="E12" s="327"/>
      <c r="F12" s="468"/>
      <c r="G12" s="468"/>
      <c r="I12" s="327" t="s">
        <v>95</v>
      </c>
      <c r="J12" s="446" t="s">
        <v>94</v>
      </c>
      <c r="K12" s="447"/>
      <c r="L12" s="448"/>
    </row>
    <row r="13" spans="3:20" x14ac:dyDescent="0.25">
      <c r="C13" s="14" t="s">
        <v>96</v>
      </c>
      <c r="D13" s="19">
        <f>+HT/5</f>
        <v>0.24</v>
      </c>
      <c r="F13" s="327"/>
      <c r="G13" s="327"/>
      <c r="I13" s="20">
        <v>1200</v>
      </c>
      <c r="J13" s="449">
        <v>1000</v>
      </c>
      <c r="K13" s="450"/>
      <c r="L13" s="451"/>
    </row>
    <row r="14" spans="3:20" x14ac:dyDescent="0.25">
      <c r="C14" s="14" t="s">
        <v>97</v>
      </c>
      <c r="D14" s="19">
        <f>+HT/5</f>
        <v>0.24</v>
      </c>
      <c r="E14" s="327"/>
      <c r="F14" s="327"/>
      <c r="G14" s="327"/>
      <c r="I14" s="327" t="s">
        <v>98</v>
      </c>
      <c r="J14" s="446" t="s">
        <v>98</v>
      </c>
      <c r="K14" s="447"/>
      <c r="L14" s="448"/>
    </row>
    <row r="15" spans="3:20" x14ac:dyDescent="0.25">
      <c r="C15" s="14" t="s">
        <v>99</v>
      </c>
      <c r="D15" s="19">
        <f>+HT/5</f>
        <v>0.24</v>
      </c>
      <c r="E15" s="327"/>
      <c r="F15" s="327"/>
      <c r="G15" s="327"/>
      <c r="J15" s="324"/>
      <c r="L15" s="326"/>
    </row>
    <row r="16" spans="3:20" x14ac:dyDescent="0.25">
      <c r="C16" s="14" t="s">
        <v>100</v>
      </c>
      <c r="D16" s="19">
        <f>+HT/5</f>
        <v>0.24</v>
      </c>
      <c r="E16" s="327"/>
      <c r="F16" s="327"/>
      <c r="G16" s="327"/>
      <c r="J16" s="21"/>
      <c r="K16" s="22"/>
      <c r="L16" s="23"/>
    </row>
    <row r="17" spans="2:14" x14ac:dyDescent="0.25">
      <c r="C17" s="14" t="s">
        <v>101</v>
      </c>
      <c r="D17" s="19">
        <f>+HT/5</f>
        <v>0.24</v>
      </c>
      <c r="E17" s="327"/>
      <c r="F17" s="327"/>
      <c r="G17" s="327"/>
    </row>
    <row r="18" spans="2:14" x14ac:dyDescent="0.25">
      <c r="C18" s="24" t="s">
        <v>75</v>
      </c>
      <c r="D18" s="25">
        <f>+DIA*1.2+0.1</f>
        <v>1.3</v>
      </c>
      <c r="E18" s="327"/>
      <c r="F18" s="327"/>
      <c r="G18" s="327"/>
    </row>
    <row r="19" spans="2:14" x14ac:dyDescent="0.25">
      <c r="J19" s="26"/>
      <c r="L19" s="26"/>
    </row>
    <row r="20" spans="2:14" ht="17.25" customHeight="1" x14ac:dyDescent="0.25">
      <c r="D20" s="139" t="s">
        <v>323</v>
      </c>
      <c r="J20" s="26"/>
      <c r="L20" s="26"/>
    </row>
    <row r="21" spans="2:14" s="28" customFormat="1" ht="15" customHeight="1" x14ac:dyDescent="0.25">
      <c r="D21" s="462" t="s">
        <v>0</v>
      </c>
      <c r="E21" s="463"/>
      <c r="F21" s="463"/>
      <c r="G21" s="463"/>
      <c r="H21" s="464" t="s">
        <v>1</v>
      </c>
      <c r="I21" s="466" t="s">
        <v>11</v>
      </c>
      <c r="J21" s="331">
        <f>D22</f>
        <v>0</v>
      </c>
      <c r="K21" s="29" t="s">
        <v>2</v>
      </c>
      <c r="L21" s="331" t="str">
        <f>E22</f>
        <v>BIS</v>
      </c>
      <c r="M21" s="331" t="str">
        <f>F22</f>
        <v>BIS</v>
      </c>
      <c r="N21" s="331" t="str">
        <f>G22</f>
        <v>BIS</v>
      </c>
    </row>
    <row r="22" spans="2:14" s="28" customFormat="1" ht="15" customHeight="1" x14ac:dyDescent="0.25">
      <c r="B22" s="30"/>
      <c r="C22" s="31" t="s">
        <v>102</v>
      </c>
      <c r="D22" s="331"/>
      <c r="E22" s="331" t="s">
        <v>319</v>
      </c>
      <c r="F22" s="331" t="s">
        <v>319</v>
      </c>
      <c r="G22" s="331" t="s">
        <v>319</v>
      </c>
      <c r="H22" s="465"/>
      <c r="I22" s="466"/>
      <c r="J22" s="331" t="s">
        <v>77</v>
      </c>
      <c r="K22" s="29" t="s">
        <v>77</v>
      </c>
      <c r="L22" s="331" t="s">
        <v>78</v>
      </c>
      <c r="M22" s="331" t="s">
        <v>78</v>
      </c>
      <c r="N22" s="331" t="s">
        <v>78</v>
      </c>
    </row>
    <row r="23" spans="2:14" x14ac:dyDescent="0.25">
      <c r="B23" s="32"/>
      <c r="C23" s="325">
        <v>8</v>
      </c>
      <c r="D23" s="33"/>
      <c r="E23" s="34">
        <v>3</v>
      </c>
      <c r="F23" s="35">
        <f>C23-E23-G23</f>
        <v>4</v>
      </c>
      <c r="G23" s="34">
        <v>1</v>
      </c>
      <c r="H23" s="36" t="s">
        <v>103</v>
      </c>
      <c r="I23" s="37">
        <v>1</v>
      </c>
      <c r="J23" s="38">
        <f>PI()*DIA*D13*I23</f>
        <v>0.7539822368615503</v>
      </c>
      <c r="K23" s="38">
        <f>PI()*DIA*D13</f>
        <v>0.7539822368615503</v>
      </c>
      <c r="L23" s="39">
        <f>K23*E23*I23</f>
        <v>2.2619467105846507</v>
      </c>
      <c r="M23" s="39">
        <f>K23*F23*I23</f>
        <v>3.0159289474462012</v>
      </c>
      <c r="N23" s="39">
        <f>K23*G23*I23</f>
        <v>0.7539822368615503</v>
      </c>
    </row>
    <row r="24" spans="2:14" x14ac:dyDescent="0.25">
      <c r="B24" s="32"/>
      <c r="C24" s="325">
        <v>8</v>
      </c>
      <c r="D24" s="33"/>
      <c r="E24" s="34">
        <v>3</v>
      </c>
      <c r="F24" s="35">
        <f t="shared" ref="F24:F36" si="0">C24-E24-G24</f>
        <v>4</v>
      </c>
      <c r="G24" s="34">
        <v>1</v>
      </c>
      <c r="H24" s="36" t="s">
        <v>104</v>
      </c>
      <c r="I24" s="37">
        <v>1</v>
      </c>
      <c r="J24" s="38">
        <f>PI()*DIA*B.M.S.H*I24</f>
        <v>0.7539822368615503</v>
      </c>
      <c r="K24" s="38">
        <f>PI()*DIA*B.M.S.H</f>
        <v>0.7539822368615503</v>
      </c>
      <c r="L24" s="39">
        <f t="shared" ref="L24:L30" si="1">K24*E24*I24</f>
        <v>2.2619467105846507</v>
      </c>
      <c r="M24" s="39">
        <f t="shared" ref="M24:M36" si="2">K24*F24*I24</f>
        <v>3.0159289474462012</v>
      </c>
      <c r="N24" s="39">
        <f t="shared" ref="N24:N31" si="3">K24*G24*I24</f>
        <v>0.7539822368615503</v>
      </c>
    </row>
    <row r="25" spans="2:14" x14ac:dyDescent="0.25">
      <c r="B25" s="32"/>
      <c r="C25" s="325">
        <v>8</v>
      </c>
      <c r="D25" s="33"/>
      <c r="E25" s="34">
        <v>3</v>
      </c>
      <c r="F25" s="35">
        <f t="shared" si="0"/>
        <v>4</v>
      </c>
      <c r="G25" s="34">
        <v>1</v>
      </c>
      <c r="H25" s="36" t="s">
        <v>105</v>
      </c>
      <c r="I25" s="37">
        <v>1</v>
      </c>
      <c r="J25" s="38">
        <f>PI()*DIA*M.S.H*I25</f>
        <v>0.7539822368615503</v>
      </c>
      <c r="K25" s="38">
        <f>PI()*DIA*M.S.H</f>
        <v>0.7539822368615503</v>
      </c>
      <c r="L25" s="39">
        <f t="shared" si="1"/>
        <v>2.2619467105846507</v>
      </c>
      <c r="M25" s="39">
        <f t="shared" si="2"/>
        <v>3.0159289474462012</v>
      </c>
      <c r="N25" s="39">
        <f t="shared" si="3"/>
        <v>0.7539822368615503</v>
      </c>
    </row>
    <row r="26" spans="2:14" x14ac:dyDescent="0.25">
      <c r="B26" s="32"/>
      <c r="C26" s="325">
        <v>8</v>
      </c>
      <c r="D26" s="33"/>
      <c r="E26" s="34">
        <v>3</v>
      </c>
      <c r="F26" s="35">
        <f t="shared" si="0"/>
        <v>4</v>
      </c>
      <c r="G26" s="34">
        <v>1</v>
      </c>
      <c r="H26" s="36" t="s">
        <v>106</v>
      </c>
      <c r="I26" s="37">
        <v>1</v>
      </c>
      <c r="J26" s="38">
        <f>PI()*DIA*T.M.S.H*I26</f>
        <v>0.7539822368615503</v>
      </c>
      <c r="K26" s="38">
        <f>PI()*DIA*T.M.S.H</f>
        <v>0.7539822368615503</v>
      </c>
      <c r="L26" s="39">
        <f t="shared" si="1"/>
        <v>2.2619467105846507</v>
      </c>
      <c r="M26" s="39">
        <f t="shared" si="2"/>
        <v>3.0159289474462012</v>
      </c>
      <c r="N26" s="39">
        <f t="shared" si="3"/>
        <v>0.7539822368615503</v>
      </c>
    </row>
    <row r="27" spans="2:14" x14ac:dyDescent="0.25">
      <c r="B27" s="32"/>
      <c r="C27" s="325">
        <v>8</v>
      </c>
      <c r="D27" s="33"/>
      <c r="E27" s="34">
        <v>3</v>
      </c>
      <c r="F27" s="35">
        <f t="shared" si="0"/>
        <v>4</v>
      </c>
      <c r="G27" s="34">
        <v>1</v>
      </c>
      <c r="H27" s="36" t="s">
        <v>107</v>
      </c>
      <c r="I27" s="37">
        <v>1</v>
      </c>
      <c r="J27" s="38">
        <f>PI()*DIA*T.S.H*I27</f>
        <v>0.7539822368615503</v>
      </c>
      <c r="K27" s="38">
        <f>PI()*DIA*T.S.H</f>
        <v>0.7539822368615503</v>
      </c>
      <c r="L27" s="39">
        <f t="shared" si="1"/>
        <v>2.2619467105846507</v>
      </c>
      <c r="M27" s="39">
        <f t="shared" si="2"/>
        <v>3.0159289474462012</v>
      </c>
      <c r="N27" s="39">
        <f t="shared" si="3"/>
        <v>0.7539822368615503</v>
      </c>
    </row>
    <row r="28" spans="2:14" hidden="1" x14ac:dyDescent="0.25">
      <c r="B28" s="32"/>
      <c r="C28" s="325">
        <v>5</v>
      </c>
      <c r="D28" s="33"/>
      <c r="E28" s="40">
        <v>0</v>
      </c>
      <c r="F28" s="40">
        <v>0</v>
      </c>
      <c r="G28" s="40">
        <v>0</v>
      </c>
      <c r="H28" s="41" t="s">
        <v>108</v>
      </c>
      <c r="I28" s="42">
        <v>1</v>
      </c>
      <c r="J28" s="43">
        <f>((DIA^2)/(COS(ANGLE*PI()/180)))*I28</f>
        <v>1.035276180410083</v>
      </c>
      <c r="K28" s="43">
        <f>PI()/4*((DIA^2)/(COS(ANGLE*PI()/180)))</f>
        <v>0.81310401070320448</v>
      </c>
      <c r="L28" s="39">
        <f t="shared" si="1"/>
        <v>0</v>
      </c>
      <c r="M28" s="39">
        <f t="shared" si="2"/>
        <v>0</v>
      </c>
      <c r="N28" s="39">
        <f t="shared" si="3"/>
        <v>0</v>
      </c>
    </row>
    <row r="29" spans="2:14" x14ac:dyDescent="0.25">
      <c r="B29" s="32"/>
      <c r="C29" s="325">
        <v>8</v>
      </c>
      <c r="D29" s="33"/>
      <c r="E29" s="34">
        <v>3</v>
      </c>
      <c r="F29" s="35">
        <f t="shared" si="0"/>
        <v>4</v>
      </c>
      <c r="G29" s="34">
        <v>1</v>
      </c>
      <c r="H29" s="36" t="s">
        <v>109</v>
      </c>
      <c r="I29" s="37">
        <v>1</v>
      </c>
      <c r="J29" s="38">
        <f>(DIA^2)*I29</f>
        <v>1</v>
      </c>
      <c r="K29" s="38">
        <f>(PI()/4)*(DIA^2)</f>
        <v>0.78539816339744828</v>
      </c>
      <c r="L29" s="39">
        <f>K29*E29*I29</f>
        <v>2.3561944901923448</v>
      </c>
      <c r="M29" s="39">
        <f t="shared" si="2"/>
        <v>3.1415926535897931</v>
      </c>
      <c r="N29" s="39">
        <f t="shared" si="3"/>
        <v>0.78539816339744828</v>
      </c>
    </row>
    <row r="30" spans="2:14" x14ac:dyDescent="0.25">
      <c r="B30" s="32"/>
      <c r="C30" s="325">
        <v>18</v>
      </c>
      <c r="D30" s="33"/>
      <c r="E30" s="34">
        <v>3</v>
      </c>
      <c r="F30" s="35">
        <f t="shared" si="0"/>
        <v>14</v>
      </c>
      <c r="G30" s="34">
        <v>1</v>
      </c>
      <c r="H30" s="36" t="s">
        <v>110</v>
      </c>
      <c r="I30" s="37">
        <v>1</v>
      </c>
      <c r="J30" s="44">
        <f>((DIA+0.2)^2)*I30</f>
        <v>1.44</v>
      </c>
      <c r="K30" s="44">
        <f>((PI()/4)*((DIA+0.2)^2-DIA^2))</f>
        <v>0.34557519189487718</v>
      </c>
      <c r="L30" s="39">
        <f t="shared" si="1"/>
        <v>1.0367255756846316</v>
      </c>
      <c r="M30" s="39">
        <f t="shared" si="2"/>
        <v>4.8380526865282807</v>
      </c>
      <c r="N30" s="39">
        <f t="shared" si="3"/>
        <v>0.34557519189487718</v>
      </c>
    </row>
    <row r="31" spans="2:14" x14ac:dyDescent="0.25">
      <c r="B31" s="32"/>
      <c r="C31" s="325">
        <v>18</v>
      </c>
      <c r="D31" s="33"/>
      <c r="E31" s="34">
        <v>3</v>
      </c>
      <c r="F31" s="35">
        <f t="shared" si="0"/>
        <v>14</v>
      </c>
      <c r="G31" s="34">
        <v>1</v>
      </c>
      <c r="H31" s="36" t="s">
        <v>76</v>
      </c>
      <c r="I31" s="37">
        <v>1</v>
      </c>
      <c r="J31" s="44">
        <f>((DIA+0.2)^2)*I31</f>
        <v>1.44</v>
      </c>
      <c r="K31" s="44">
        <f>((PI()/4)*((DIA+0.2)^2))</f>
        <v>1.1309733552923256</v>
      </c>
      <c r="L31" s="39">
        <f>K31*E31*I31</f>
        <v>3.3929200658769769</v>
      </c>
      <c r="M31" s="39">
        <f t="shared" si="2"/>
        <v>15.833626974092558</v>
      </c>
      <c r="N31" s="39">
        <f t="shared" si="3"/>
        <v>1.1309733552923256</v>
      </c>
    </row>
    <row r="32" spans="2:14" x14ac:dyDescent="0.25">
      <c r="B32" s="45"/>
      <c r="C32" s="325">
        <f>CEILING((C31+C23)*0.5,1)</f>
        <v>13</v>
      </c>
      <c r="D32" s="46"/>
      <c r="E32" s="46"/>
      <c r="F32" s="35">
        <f t="shared" si="0"/>
        <v>13</v>
      </c>
      <c r="G32" s="46"/>
      <c r="H32" s="36" t="s">
        <v>111</v>
      </c>
      <c r="I32" s="37">
        <v>1</v>
      </c>
      <c r="J32" s="46"/>
      <c r="K32" s="38">
        <f>PI()*DIA*(2*2*SQRT(DIA*((C32)/1000/2)))</f>
        <v>1.0131331885360846</v>
      </c>
      <c r="L32" s="46"/>
      <c r="M32" s="39">
        <f t="shared" si="2"/>
        <v>13.1707314509691</v>
      </c>
      <c r="N32" s="46"/>
    </row>
    <row r="33" spans="2:31" x14ac:dyDescent="0.25">
      <c r="B33" s="45"/>
      <c r="C33" s="325">
        <f>CEILING((C31+C27)*0.5,1)</f>
        <v>13</v>
      </c>
      <c r="D33" s="46"/>
      <c r="E33" s="46"/>
      <c r="F33" s="35">
        <f t="shared" si="0"/>
        <v>13</v>
      </c>
      <c r="G33" s="46"/>
      <c r="H33" s="36" t="s">
        <v>112</v>
      </c>
      <c r="I33" s="37">
        <v>1</v>
      </c>
      <c r="J33" s="46"/>
      <c r="K33" s="38">
        <f>PI()*DIA*(2*2*SQRT(DIA*((C33)/1000/2)))</f>
        <v>1.0131331885360846</v>
      </c>
      <c r="L33" s="46"/>
      <c r="M33" s="39">
        <f t="shared" si="2"/>
        <v>13.1707314509691</v>
      </c>
      <c r="N33" s="46"/>
    </row>
    <row r="34" spans="2:31" hidden="1" x14ac:dyDescent="0.25">
      <c r="B34" s="45"/>
      <c r="C34" s="40">
        <v>0</v>
      </c>
      <c r="D34" s="47"/>
      <c r="E34" s="47"/>
      <c r="F34" s="42">
        <f t="shared" si="0"/>
        <v>0</v>
      </c>
      <c r="G34" s="47"/>
      <c r="H34" s="41" t="s">
        <v>113</v>
      </c>
      <c r="I34" s="42">
        <v>1</v>
      </c>
      <c r="J34" s="47"/>
      <c r="K34" s="48">
        <f>PI()*DIA*0.45</f>
        <v>1.4137166941154069</v>
      </c>
      <c r="L34" s="47"/>
      <c r="M34" s="39">
        <f t="shared" si="2"/>
        <v>0</v>
      </c>
      <c r="N34" s="46"/>
    </row>
    <row r="35" spans="2:31" hidden="1" x14ac:dyDescent="0.25">
      <c r="B35" s="16"/>
      <c r="C35" s="325">
        <v>0</v>
      </c>
      <c r="D35" s="46"/>
      <c r="E35" s="46"/>
      <c r="F35" s="35">
        <f t="shared" si="0"/>
        <v>0</v>
      </c>
      <c r="G35" s="46"/>
      <c r="H35" s="36" t="s">
        <v>114</v>
      </c>
      <c r="I35" s="37">
        <v>0</v>
      </c>
      <c r="J35" s="46"/>
      <c r="K35" s="38">
        <f>(DIA)/(COS(ANGLE*PI()/180))*((50+75+75+75+50)/1000)</f>
        <v>0.33646475863327696</v>
      </c>
      <c r="L35" s="46"/>
      <c r="M35" s="39">
        <f t="shared" si="2"/>
        <v>0</v>
      </c>
      <c r="N35" s="46"/>
    </row>
    <row r="36" spans="2:31" hidden="1" x14ac:dyDescent="0.25">
      <c r="B36" s="16"/>
      <c r="C36" s="49">
        <v>0</v>
      </c>
      <c r="D36" s="46"/>
      <c r="E36" s="46"/>
      <c r="F36" s="50">
        <f t="shared" si="0"/>
        <v>0</v>
      </c>
      <c r="G36" s="46"/>
      <c r="H36" s="51" t="s">
        <v>115</v>
      </c>
      <c r="I36" s="50">
        <v>0</v>
      </c>
      <c r="J36" s="46"/>
      <c r="K36" s="52">
        <f>PI()*DIA*0.4</f>
        <v>1.2566370614359172</v>
      </c>
      <c r="L36" s="46"/>
      <c r="M36" s="39">
        <f t="shared" si="2"/>
        <v>0</v>
      </c>
      <c r="N36" s="46"/>
    </row>
    <row r="37" spans="2:31" x14ac:dyDescent="0.25">
      <c r="C37" s="53"/>
      <c r="P37" s="54"/>
      <c r="Q37" s="54"/>
      <c r="R37" s="54"/>
      <c r="S37" s="54"/>
      <c r="T37" s="54"/>
      <c r="U37" s="54"/>
      <c r="V37" s="439" t="s">
        <v>52</v>
      </c>
      <c r="W37" s="440"/>
      <c r="X37" s="439" t="s">
        <v>53</v>
      </c>
      <c r="Y37" s="440"/>
      <c r="Z37" s="439" t="s">
        <v>54</v>
      </c>
      <c r="AA37" s="440"/>
      <c r="AB37" s="439" t="s">
        <v>55</v>
      </c>
      <c r="AC37" s="440"/>
      <c r="AD37" s="439" t="s">
        <v>57</v>
      </c>
      <c r="AE37" s="440"/>
    </row>
    <row r="38" spans="2:31" hidden="1" x14ac:dyDescent="0.25">
      <c r="P38" s="54"/>
      <c r="Q38" s="54" t="s">
        <v>7</v>
      </c>
      <c r="R38" s="54" t="s">
        <v>6</v>
      </c>
      <c r="S38" s="54" t="s">
        <v>9</v>
      </c>
      <c r="T38" s="54" t="s">
        <v>10</v>
      </c>
      <c r="U38" s="54" t="s">
        <v>8</v>
      </c>
      <c r="V38" s="54" t="s">
        <v>4</v>
      </c>
      <c r="W38" s="54" t="s">
        <v>3</v>
      </c>
      <c r="X38" s="54" t="s">
        <v>4</v>
      </c>
      <c r="Y38" s="54" t="s">
        <v>3</v>
      </c>
      <c r="Z38" s="54" t="s">
        <v>56</v>
      </c>
      <c r="AA38" s="54" t="s">
        <v>3</v>
      </c>
      <c r="AB38" s="54" t="s">
        <v>4</v>
      </c>
      <c r="AC38" s="54" t="s">
        <v>3</v>
      </c>
      <c r="AD38" s="54" t="s">
        <v>59</v>
      </c>
      <c r="AE38" s="54" t="s">
        <v>58</v>
      </c>
    </row>
    <row r="39" spans="2:31" hidden="1" x14ac:dyDescent="0.25">
      <c r="P39" s="54" t="s">
        <v>29</v>
      </c>
      <c r="Q39" s="54" t="s">
        <v>29</v>
      </c>
      <c r="R39" s="54">
        <v>0</v>
      </c>
      <c r="S39" s="54">
        <v>0</v>
      </c>
      <c r="T39" s="54">
        <v>0</v>
      </c>
      <c r="U39" s="55">
        <f t="shared" ref="U39:U57" si="4">((PI()/4)*(T39^2-R39^2))+(PI()*R39*S39)</f>
        <v>0</v>
      </c>
      <c r="V39" s="54">
        <v>5</v>
      </c>
      <c r="W39" s="54">
        <v>12</v>
      </c>
      <c r="X39" s="54">
        <v>5</v>
      </c>
      <c r="Y39" s="54">
        <v>5</v>
      </c>
      <c r="Z39" s="55">
        <f t="shared" ref="Z39:Z57" si="5">(T39^2)*CEILING(V39/4,1)</f>
        <v>0</v>
      </c>
      <c r="AA39" s="55">
        <f t="shared" ref="AA39:AA57" si="6">((PI()/4)*(T39^2-R39^2))*W39</f>
        <v>0</v>
      </c>
      <c r="AB39" s="55">
        <f t="shared" ref="AB39:AB57" si="7">+(PI()*R39*S39)*CEILING(X39/3,1)</f>
        <v>0</v>
      </c>
      <c r="AC39" s="55">
        <f t="shared" ref="AC39:AC57" si="8">+(PI()*R39*S39)*Y39</f>
        <v>0</v>
      </c>
      <c r="AD39" s="55">
        <f t="shared" ref="AD39:AE57" si="9">+Z39+AB39</f>
        <v>0</v>
      </c>
      <c r="AE39" s="55">
        <f t="shared" si="9"/>
        <v>0</v>
      </c>
    </row>
    <row r="40" spans="2:31" x14ac:dyDescent="0.25">
      <c r="D40" s="46"/>
      <c r="E40" s="46"/>
      <c r="F40" s="46"/>
      <c r="G40" s="46"/>
      <c r="H40" s="56" t="s">
        <v>24</v>
      </c>
      <c r="I40" s="37">
        <v>4</v>
      </c>
      <c r="J40" s="38">
        <f t="shared" ref="J40:J57" si="10">LOOKUP(H40,NOZZLE1,PP_AREA)*I40</f>
        <v>0.27982844737231005</v>
      </c>
      <c r="K40" s="39"/>
      <c r="L40" s="216">
        <v>1.39</v>
      </c>
      <c r="M40" s="179">
        <f>L40*I40</f>
        <v>5.56</v>
      </c>
      <c r="P40" s="54" t="s">
        <v>22</v>
      </c>
      <c r="Q40" s="54" t="s">
        <v>22</v>
      </c>
      <c r="R40" s="54">
        <v>1.4999999999999999E-2</v>
      </c>
      <c r="S40" s="54">
        <v>0.15</v>
      </c>
      <c r="T40" s="54">
        <v>8.8999999999999996E-2</v>
      </c>
      <c r="U40" s="55">
        <f t="shared" si="4"/>
        <v>1.3113007736083794E-2</v>
      </c>
      <c r="V40" s="54">
        <v>5</v>
      </c>
      <c r="W40" s="54">
        <v>12</v>
      </c>
      <c r="X40" s="54">
        <v>5</v>
      </c>
      <c r="Y40" s="54">
        <v>5</v>
      </c>
      <c r="Z40" s="55">
        <f t="shared" si="5"/>
        <v>1.5841999999999998E-2</v>
      </c>
      <c r="AA40" s="55">
        <f t="shared" si="6"/>
        <v>7.2533091186081131E-2</v>
      </c>
      <c r="AB40" s="55">
        <f t="shared" si="7"/>
        <v>1.4137166941154067E-2</v>
      </c>
      <c r="AC40" s="55">
        <f t="shared" si="8"/>
        <v>3.5342917352885167E-2</v>
      </c>
      <c r="AD40" s="55">
        <f t="shared" si="9"/>
        <v>2.9979166941154066E-2</v>
      </c>
      <c r="AE40" s="55">
        <f t="shared" si="9"/>
        <v>0.1078760085389663</v>
      </c>
    </row>
    <row r="41" spans="2:31" x14ac:dyDescent="0.25">
      <c r="D41" s="46"/>
      <c r="E41" s="46"/>
      <c r="F41" s="46"/>
      <c r="G41" s="46"/>
      <c r="H41" s="56" t="s">
        <v>25</v>
      </c>
      <c r="I41" s="37">
        <v>2</v>
      </c>
      <c r="J41" s="38">
        <f t="shared" si="10"/>
        <v>0.18666377960769379</v>
      </c>
      <c r="K41" s="39"/>
      <c r="L41" s="216">
        <v>1.7</v>
      </c>
      <c r="M41" s="179">
        <f>L41*I41</f>
        <v>3.4</v>
      </c>
      <c r="P41" s="54" t="s">
        <v>23</v>
      </c>
      <c r="Q41" s="54" t="s">
        <v>23</v>
      </c>
      <c r="R41" s="54">
        <v>0.02</v>
      </c>
      <c r="S41" s="54">
        <v>0.15</v>
      </c>
      <c r="T41" s="54">
        <v>9.8000000000000004E-2</v>
      </c>
      <c r="U41" s="55">
        <f t="shared" si="4"/>
        <v>1.6653582656679496E-2</v>
      </c>
      <c r="V41" s="54">
        <v>5</v>
      </c>
      <c r="W41" s="54">
        <v>12</v>
      </c>
      <c r="X41" s="54">
        <v>5</v>
      </c>
      <c r="Y41" s="54">
        <v>5</v>
      </c>
      <c r="Z41" s="55">
        <f t="shared" si="5"/>
        <v>1.9208000000000003E-2</v>
      </c>
      <c r="AA41" s="55">
        <f t="shared" si="6"/>
        <v>8.674565635092138E-2</v>
      </c>
      <c r="AB41" s="55">
        <f t="shared" si="7"/>
        <v>1.8849555921538759E-2</v>
      </c>
      <c r="AC41" s="55">
        <f t="shared" si="8"/>
        <v>4.7123889803846894E-2</v>
      </c>
      <c r="AD41" s="55">
        <f t="shared" si="9"/>
        <v>3.8057555921538762E-2</v>
      </c>
      <c r="AE41" s="55">
        <f t="shared" si="9"/>
        <v>0.13386954615476826</v>
      </c>
    </row>
    <row r="42" spans="2:31" x14ac:dyDescent="0.25">
      <c r="D42" s="46"/>
      <c r="E42" s="46"/>
      <c r="F42" s="46"/>
      <c r="G42" s="46"/>
      <c r="H42" s="56" t="s">
        <v>30</v>
      </c>
      <c r="I42" s="37">
        <v>3</v>
      </c>
      <c r="J42" s="38">
        <f t="shared" si="10"/>
        <v>0.59738933882308132</v>
      </c>
      <c r="K42" s="39"/>
      <c r="L42" s="216">
        <v>1.9</v>
      </c>
      <c r="M42" s="179">
        <f t="shared" ref="M42:M44" si="11">L42*I42</f>
        <v>5.6999999999999993</v>
      </c>
      <c r="P42" s="54" t="s">
        <v>28</v>
      </c>
      <c r="Q42" s="54" t="s">
        <v>28</v>
      </c>
      <c r="R42" s="54">
        <v>2.5000000000000001E-2</v>
      </c>
      <c r="S42" s="54">
        <v>0.15</v>
      </c>
      <c r="T42" s="54">
        <v>0.108</v>
      </c>
      <c r="U42" s="55">
        <f t="shared" si="4"/>
        <v>2.0450982776706154E-2</v>
      </c>
      <c r="V42" s="54">
        <v>5</v>
      </c>
      <c r="W42" s="54">
        <v>12</v>
      </c>
      <c r="X42" s="54">
        <v>5</v>
      </c>
      <c r="Y42" s="54">
        <v>5</v>
      </c>
      <c r="Z42" s="55">
        <f t="shared" si="5"/>
        <v>2.3327999999999998E-2</v>
      </c>
      <c r="AA42" s="55">
        <f t="shared" si="6"/>
        <v>0.10404012390893316</v>
      </c>
      <c r="AB42" s="55">
        <f t="shared" si="7"/>
        <v>2.3561944901923447E-2</v>
      </c>
      <c r="AC42" s="55">
        <f t="shared" si="8"/>
        <v>5.8904862254808621E-2</v>
      </c>
      <c r="AD42" s="55">
        <f t="shared" si="9"/>
        <v>4.6889944901923442E-2</v>
      </c>
      <c r="AE42" s="55">
        <f t="shared" si="9"/>
        <v>0.16294498616374178</v>
      </c>
    </row>
    <row r="43" spans="2:31" hidden="1" x14ac:dyDescent="0.25">
      <c r="D43" s="46"/>
      <c r="E43" s="46"/>
      <c r="F43" s="46"/>
      <c r="G43" s="46"/>
      <c r="H43" s="56" t="s">
        <v>30</v>
      </c>
      <c r="I43" s="37">
        <v>0</v>
      </c>
      <c r="J43" s="38">
        <f t="shared" si="10"/>
        <v>0</v>
      </c>
      <c r="K43" s="39"/>
      <c r="L43" s="57">
        <v>1.55</v>
      </c>
      <c r="M43" s="325">
        <f t="shared" si="11"/>
        <v>0</v>
      </c>
      <c r="P43" s="54" t="s">
        <v>24</v>
      </c>
      <c r="Q43" s="54" t="s">
        <v>24</v>
      </c>
      <c r="R43" s="54">
        <v>0.04</v>
      </c>
      <c r="S43" s="54">
        <v>0.15</v>
      </c>
      <c r="T43" s="54">
        <v>0.127</v>
      </c>
      <c r="U43" s="55">
        <f t="shared" si="4"/>
        <v>3.0260605837540283E-2</v>
      </c>
      <c r="V43" s="54">
        <v>5</v>
      </c>
      <c r="W43" s="54">
        <v>15</v>
      </c>
      <c r="X43" s="54">
        <v>5</v>
      </c>
      <c r="Y43" s="54">
        <v>6</v>
      </c>
      <c r="Z43" s="55">
        <f t="shared" si="5"/>
        <v>3.2258000000000002E-2</v>
      </c>
      <c r="AA43" s="55">
        <f t="shared" si="6"/>
        <v>0.17116574874002288</v>
      </c>
      <c r="AB43" s="55">
        <f t="shared" si="7"/>
        <v>3.7699111843077518E-2</v>
      </c>
      <c r="AC43" s="55">
        <f t="shared" si="8"/>
        <v>0.11309733552923255</v>
      </c>
      <c r="AD43" s="55">
        <f t="shared" si="9"/>
        <v>6.9957111843077513E-2</v>
      </c>
      <c r="AE43" s="55">
        <f t="shared" si="9"/>
        <v>0.28426308426925545</v>
      </c>
    </row>
    <row r="44" spans="2:31" ht="18.75" hidden="1" customHeight="1" x14ac:dyDescent="0.25">
      <c r="D44" s="46"/>
      <c r="E44" s="46"/>
      <c r="F44" s="46"/>
      <c r="G44" s="46"/>
      <c r="H44" s="56" t="s">
        <v>19</v>
      </c>
      <c r="I44" s="37">
        <v>0</v>
      </c>
      <c r="J44" s="38">
        <f t="shared" si="10"/>
        <v>0</v>
      </c>
      <c r="K44" s="39"/>
      <c r="L44" s="57">
        <v>7.34</v>
      </c>
      <c r="M44" s="325">
        <f t="shared" si="11"/>
        <v>0</v>
      </c>
      <c r="P44" s="54" t="s">
        <v>25</v>
      </c>
      <c r="Q44" s="54" t="s">
        <v>25</v>
      </c>
      <c r="R44" s="54">
        <v>0.05</v>
      </c>
      <c r="S44" s="54">
        <v>0.15</v>
      </c>
      <c r="T44" s="54">
        <v>0.152</v>
      </c>
      <c r="U44" s="55">
        <f t="shared" si="4"/>
        <v>3.9744288660564467E-2</v>
      </c>
      <c r="V44" s="54">
        <v>5</v>
      </c>
      <c r="W44" s="54">
        <v>15</v>
      </c>
      <c r="X44" s="54">
        <v>5</v>
      </c>
      <c r="Y44" s="54">
        <v>6</v>
      </c>
      <c r="Z44" s="55">
        <f t="shared" si="5"/>
        <v>4.6207999999999999E-2</v>
      </c>
      <c r="AA44" s="55">
        <f t="shared" si="6"/>
        <v>0.24273515637961535</v>
      </c>
      <c r="AB44" s="55">
        <f t="shared" si="7"/>
        <v>4.7123889803846894E-2</v>
      </c>
      <c r="AC44" s="55">
        <f t="shared" si="8"/>
        <v>0.14137166941154067</v>
      </c>
      <c r="AD44" s="55">
        <f t="shared" si="9"/>
        <v>9.3331889803846893E-2</v>
      </c>
      <c r="AE44" s="55">
        <f t="shared" si="9"/>
        <v>0.38410682579115601</v>
      </c>
    </row>
    <row r="45" spans="2:31" hidden="1" x14ac:dyDescent="0.25">
      <c r="D45" s="46"/>
      <c r="E45" s="46"/>
      <c r="F45" s="46"/>
      <c r="G45" s="46"/>
      <c r="H45" s="56" t="s">
        <v>20</v>
      </c>
      <c r="I45" s="37">
        <v>0</v>
      </c>
      <c r="J45" s="38">
        <f t="shared" si="10"/>
        <v>0</v>
      </c>
      <c r="K45" s="39"/>
      <c r="L45" s="58"/>
      <c r="M45" s="325" t="s">
        <v>116</v>
      </c>
      <c r="P45" s="54" t="s">
        <v>26</v>
      </c>
      <c r="Q45" s="54" t="s">
        <v>26</v>
      </c>
      <c r="R45" s="54">
        <v>6.5000000000000002E-2</v>
      </c>
      <c r="S45" s="54">
        <v>0.15</v>
      </c>
      <c r="T45" s="54">
        <v>0.17799999999999999</v>
      </c>
      <c r="U45" s="55">
        <f t="shared" si="4"/>
        <v>5.2196776541231012E-2</v>
      </c>
      <c r="V45" s="54">
        <v>5</v>
      </c>
      <c r="W45" s="54">
        <v>18</v>
      </c>
      <c r="X45" s="54">
        <v>5</v>
      </c>
      <c r="Y45" s="54">
        <v>6</v>
      </c>
      <c r="Z45" s="55">
        <f t="shared" si="5"/>
        <v>6.3367999999999994E-2</v>
      </c>
      <c r="AA45" s="55">
        <f t="shared" si="6"/>
        <v>0.38819246703714955</v>
      </c>
      <c r="AB45" s="55">
        <f t="shared" si="7"/>
        <v>6.1261056745000965E-2</v>
      </c>
      <c r="AC45" s="55">
        <f t="shared" si="8"/>
        <v>0.1837831702350029</v>
      </c>
      <c r="AD45" s="55">
        <f t="shared" si="9"/>
        <v>0.12462905674500097</v>
      </c>
      <c r="AE45" s="55">
        <f t="shared" si="9"/>
        <v>0.5719756372721525</v>
      </c>
    </row>
    <row r="46" spans="2:31" hidden="1" x14ac:dyDescent="0.25">
      <c r="D46" s="46"/>
      <c r="E46" s="46"/>
      <c r="F46" s="46"/>
      <c r="G46" s="46"/>
      <c r="H46" s="56" t="s">
        <v>21</v>
      </c>
      <c r="I46" s="37">
        <v>0</v>
      </c>
      <c r="J46" s="38">
        <f t="shared" si="10"/>
        <v>0</v>
      </c>
      <c r="K46" s="39"/>
      <c r="L46" s="58"/>
      <c r="P46" s="54" t="s">
        <v>27</v>
      </c>
      <c r="Q46" s="54" t="s">
        <v>27</v>
      </c>
      <c r="R46" s="54">
        <v>0.08</v>
      </c>
      <c r="S46" s="54">
        <v>0.15</v>
      </c>
      <c r="T46" s="54">
        <v>0.191</v>
      </c>
      <c r="U46" s="55">
        <f t="shared" si="4"/>
        <v>6.1324673996236159E-2</v>
      </c>
      <c r="V46" s="54">
        <v>5</v>
      </c>
      <c r="W46" s="54">
        <v>18</v>
      </c>
      <c r="X46" s="54">
        <v>5</v>
      </c>
      <c r="Y46" s="54">
        <v>7</v>
      </c>
      <c r="Z46" s="55">
        <f t="shared" si="5"/>
        <v>7.2961999999999999E-2</v>
      </c>
      <c r="AA46" s="55">
        <f t="shared" si="6"/>
        <v>0.42526011875685554</v>
      </c>
      <c r="AB46" s="55">
        <f t="shared" si="7"/>
        <v>7.5398223686155036E-2</v>
      </c>
      <c r="AC46" s="55">
        <f t="shared" si="8"/>
        <v>0.26389378290154264</v>
      </c>
      <c r="AD46" s="55">
        <f t="shared" si="9"/>
        <v>0.14836022368615503</v>
      </c>
      <c r="AE46" s="55">
        <f t="shared" si="9"/>
        <v>0.68915390165839818</v>
      </c>
    </row>
    <row r="47" spans="2:31" hidden="1" x14ac:dyDescent="0.25">
      <c r="D47" s="46"/>
      <c r="E47" s="46"/>
      <c r="F47" s="46"/>
      <c r="G47" s="46"/>
      <c r="H47" s="56" t="s">
        <v>21</v>
      </c>
      <c r="I47" s="37">
        <v>0</v>
      </c>
      <c r="J47" s="38">
        <f t="shared" si="10"/>
        <v>0</v>
      </c>
      <c r="K47" s="39"/>
      <c r="L47" s="58"/>
      <c r="P47" s="54" t="s">
        <v>30</v>
      </c>
      <c r="Q47" s="54" t="s">
        <v>30</v>
      </c>
      <c r="R47" s="54">
        <v>0.1</v>
      </c>
      <c r="S47" s="54">
        <v>0.15</v>
      </c>
      <c r="T47" s="54">
        <v>0.22900000000000001</v>
      </c>
      <c r="U47" s="55">
        <f t="shared" si="4"/>
        <v>8.0456973256597994E-2</v>
      </c>
      <c r="V47" s="54">
        <v>5</v>
      </c>
      <c r="W47" s="54">
        <v>20</v>
      </c>
      <c r="X47" s="54">
        <v>5</v>
      </c>
      <c r="Y47" s="54">
        <v>7</v>
      </c>
      <c r="Z47" s="55">
        <f t="shared" si="5"/>
        <v>0.104882</v>
      </c>
      <c r="AA47" s="55">
        <f t="shared" si="6"/>
        <v>0.666661669055022</v>
      </c>
      <c r="AB47" s="55">
        <f t="shared" si="7"/>
        <v>9.4247779607693788E-2</v>
      </c>
      <c r="AC47" s="55">
        <f t="shared" si="8"/>
        <v>0.32986722862692824</v>
      </c>
      <c r="AD47" s="55">
        <f t="shared" si="9"/>
        <v>0.19912977960769379</v>
      </c>
      <c r="AE47" s="55">
        <f t="shared" si="9"/>
        <v>0.99652889768195019</v>
      </c>
    </row>
    <row r="48" spans="2:31" hidden="1" x14ac:dyDescent="0.25">
      <c r="D48" s="46"/>
      <c r="E48" s="46"/>
      <c r="F48" s="46"/>
      <c r="G48" s="46"/>
      <c r="H48" s="56" t="s">
        <v>18</v>
      </c>
      <c r="I48" s="37">
        <v>0</v>
      </c>
      <c r="J48" s="38">
        <f t="shared" si="10"/>
        <v>0</v>
      </c>
      <c r="K48" s="39"/>
      <c r="L48" s="58"/>
      <c r="P48" s="54" t="s">
        <v>12</v>
      </c>
      <c r="Q48" s="54" t="s">
        <v>12</v>
      </c>
      <c r="R48" s="54">
        <v>0.125</v>
      </c>
      <c r="S48" s="54">
        <v>0.15</v>
      </c>
      <c r="T48" s="54">
        <v>0.254</v>
      </c>
      <c r="U48" s="55">
        <f t="shared" si="4"/>
        <v>9.7303763861473269E-2</v>
      </c>
      <c r="V48" s="54">
        <v>5</v>
      </c>
      <c r="W48" s="54">
        <v>20</v>
      </c>
      <c r="X48" s="54">
        <v>5</v>
      </c>
      <c r="Y48" s="54">
        <v>7</v>
      </c>
      <c r="Z48" s="55">
        <f t="shared" si="5"/>
        <v>0.12903200000000001</v>
      </c>
      <c r="AA48" s="55">
        <f t="shared" si="6"/>
        <v>0.76797803213329296</v>
      </c>
      <c r="AB48" s="55">
        <f t="shared" si="7"/>
        <v>0.11780972450961724</v>
      </c>
      <c r="AC48" s="55">
        <f t="shared" si="8"/>
        <v>0.41233403578366035</v>
      </c>
      <c r="AD48" s="55">
        <f t="shared" si="9"/>
        <v>0.24684172450961725</v>
      </c>
      <c r="AE48" s="55">
        <f t="shared" si="9"/>
        <v>1.1803120679169532</v>
      </c>
    </row>
    <row r="49" spans="4:31" hidden="1" x14ac:dyDescent="0.25">
      <c r="D49" s="46"/>
      <c r="E49" s="46"/>
      <c r="F49" s="46"/>
      <c r="G49" s="46"/>
      <c r="H49" s="56" t="s">
        <v>21</v>
      </c>
      <c r="I49" s="37">
        <v>0</v>
      </c>
      <c r="J49" s="38">
        <f t="shared" si="10"/>
        <v>0</v>
      </c>
      <c r="K49" s="39"/>
      <c r="L49" s="58"/>
      <c r="P49" s="54" t="s">
        <v>13</v>
      </c>
      <c r="Q49" s="54" t="s">
        <v>13</v>
      </c>
      <c r="R49" s="54">
        <v>0.15</v>
      </c>
      <c r="S49" s="54">
        <v>0.15</v>
      </c>
      <c r="T49" s="54">
        <v>0.27900000000000003</v>
      </c>
      <c r="U49" s="55">
        <f t="shared" si="4"/>
        <v>0.11415055446634856</v>
      </c>
      <c r="V49" s="54">
        <v>5</v>
      </c>
      <c r="W49" s="54">
        <v>20</v>
      </c>
      <c r="X49" s="54">
        <v>5</v>
      </c>
      <c r="Y49" s="54">
        <v>8</v>
      </c>
      <c r="Z49" s="55">
        <f t="shared" si="5"/>
        <v>0.15568200000000004</v>
      </c>
      <c r="AA49" s="55">
        <f t="shared" si="6"/>
        <v>0.86929439521156404</v>
      </c>
      <c r="AB49" s="55">
        <f t="shared" si="7"/>
        <v>0.1413716694115407</v>
      </c>
      <c r="AC49" s="55">
        <f t="shared" si="8"/>
        <v>0.56548667764616278</v>
      </c>
      <c r="AD49" s="55">
        <f t="shared" si="9"/>
        <v>0.29705366941154077</v>
      </c>
      <c r="AE49" s="55">
        <f t="shared" si="9"/>
        <v>1.4347810728577268</v>
      </c>
    </row>
    <row r="50" spans="4:31" hidden="1" x14ac:dyDescent="0.25">
      <c r="D50" s="46"/>
      <c r="E50" s="46"/>
      <c r="F50" s="46"/>
      <c r="G50" s="46"/>
      <c r="H50" s="56" t="s">
        <v>21</v>
      </c>
      <c r="I50" s="37">
        <v>0</v>
      </c>
      <c r="J50" s="38">
        <f t="shared" si="10"/>
        <v>0</v>
      </c>
      <c r="K50" s="39"/>
      <c r="L50" s="58"/>
      <c r="P50" s="54" t="s">
        <v>14</v>
      </c>
      <c r="Q50" s="54" t="s">
        <v>14</v>
      </c>
      <c r="R50" s="54">
        <v>0.2</v>
      </c>
      <c r="S50" s="54">
        <v>0.15</v>
      </c>
      <c r="T50" s="54">
        <v>0.33</v>
      </c>
      <c r="U50" s="55">
        <f t="shared" si="4"/>
        <v>0.14836171306577797</v>
      </c>
      <c r="V50" s="54">
        <v>5</v>
      </c>
      <c r="W50" s="54">
        <v>22</v>
      </c>
      <c r="X50" s="54">
        <v>5</v>
      </c>
      <c r="Y50" s="54">
        <v>8</v>
      </c>
      <c r="Z50" s="55">
        <f t="shared" si="5"/>
        <v>0.21780000000000002</v>
      </c>
      <c r="AA50" s="55">
        <f t="shared" si="6"/>
        <v>1.1905065360778522</v>
      </c>
      <c r="AB50" s="55">
        <f t="shared" si="7"/>
        <v>0.18849555921538758</v>
      </c>
      <c r="AC50" s="55">
        <f t="shared" si="8"/>
        <v>0.7539822368615503</v>
      </c>
      <c r="AD50" s="55">
        <f t="shared" si="9"/>
        <v>0.40629555921538762</v>
      </c>
      <c r="AE50" s="55">
        <f t="shared" si="9"/>
        <v>1.9444887729394025</v>
      </c>
    </row>
    <row r="51" spans="4:31" hidden="1" x14ac:dyDescent="0.25">
      <c r="D51" s="46"/>
      <c r="E51" s="46"/>
      <c r="F51" s="46"/>
      <c r="G51" s="46"/>
      <c r="H51" s="56" t="s">
        <v>15</v>
      </c>
      <c r="I51" s="37">
        <v>0</v>
      </c>
      <c r="J51" s="38">
        <f t="shared" si="10"/>
        <v>0</v>
      </c>
      <c r="K51" s="39"/>
      <c r="L51" s="58"/>
      <c r="P51" s="54" t="s">
        <v>15</v>
      </c>
      <c r="Q51" s="54" t="s">
        <v>15</v>
      </c>
      <c r="R51" s="54">
        <v>0.25</v>
      </c>
      <c r="S51" s="54">
        <v>0.15</v>
      </c>
      <c r="T51" s="54">
        <v>0.38</v>
      </c>
      <c r="U51" s="55">
        <f t="shared" si="4"/>
        <v>0.18213383409186826</v>
      </c>
      <c r="V51" s="54">
        <v>5</v>
      </c>
      <c r="W51" s="54">
        <v>22</v>
      </c>
      <c r="X51" s="54">
        <v>5</v>
      </c>
      <c r="Y51" s="54">
        <v>8</v>
      </c>
      <c r="Z51" s="55">
        <f t="shared" si="5"/>
        <v>0.2888</v>
      </c>
      <c r="AA51" s="55">
        <f t="shared" si="6"/>
        <v>1.4151304108095224</v>
      </c>
      <c r="AB51" s="55">
        <f t="shared" si="7"/>
        <v>0.23561944901923448</v>
      </c>
      <c r="AC51" s="55">
        <f t="shared" si="8"/>
        <v>0.94247779607693793</v>
      </c>
      <c r="AD51" s="55">
        <f t="shared" si="9"/>
        <v>0.52441944901923443</v>
      </c>
      <c r="AE51" s="55">
        <f t="shared" si="9"/>
        <v>2.3576082068864603</v>
      </c>
    </row>
    <row r="52" spans="4:31" hidden="1" x14ac:dyDescent="0.25">
      <c r="D52" s="46"/>
      <c r="E52" s="46"/>
      <c r="F52" s="46"/>
      <c r="G52" s="46"/>
      <c r="H52" s="56" t="s">
        <v>16</v>
      </c>
      <c r="I52" s="37">
        <v>0</v>
      </c>
      <c r="J52" s="38">
        <f t="shared" si="10"/>
        <v>0</v>
      </c>
      <c r="K52" s="39"/>
      <c r="L52" s="58"/>
      <c r="P52" s="54" t="s">
        <v>16</v>
      </c>
      <c r="Q52" s="54" t="s">
        <v>16</v>
      </c>
      <c r="R52" s="54">
        <v>0.3</v>
      </c>
      <c r="S52" s="54">
        <v>0.15</v>
      </c>
      <c r="T52" s="54">
        <v>0.43</v>
      </c>
      <c r="U52" s="55">
        <f t="shared" si="4"/>
        <v>0.21590595511795851</v>
      </c>
      <c r="V52" s="54">
        <v>5</v>
      </c>
      <c r="W52" s="54">
        <v>25</v>
      </c>
      <c r="X52" s="54">
        <v>5</v>
      </c>
      <c r="Y52" s="54">
        <v>8</v>
      </c>
      <c r="Z52" s="55">
        <f t="shared" si="5"/>
        <v>0.36979999999999996</v>
      </c>
      <c r="AA52" s="55">
        <f t="shared" si="6"/>
        <v>1.8633571426604458</v>
      </c>
      <c r="AB52" s="55">
        <f t="shared" si="7"/>
        <v>0.28274333882308139</v>
      </c>
      <c r="AC52" s="55">
        <f t="shared" si="8"/>
        <v>1.1309733552923256</v>
      </c>
      <c r="AD52" s="55">
        <f t="shared" si="9"/>
        <v>0.65254333882308135</v>
      </c>
      <c r="AE52" s="55">
        <f t="shared" si="9"/>
        <v>2.9943304979527712</v>
      </c>
    </row>
    <row r="53" spans="4:31" hidden="1" x14ac:dyDescent="0.25">
      <c r="D53" s="46"/>
      <c r="E53" s="46"/>
      <c r="F53" s="46"/>
      <c r="G53" s="46"/>
      <c r="H53" s="56" t="s">
        <v>17</v>
      </c>
      <c r="I53" s="37">
        <v>0</v>
      </c>
      <c r="J53" s="38">
        <f t="shared" si="10"/>
        <v>0</v>
      </c>
      <c r="K53" s="39"/>
      <c r="L53" s="58"/>
      <c r="P53" s="54" t="s">
        <v>17</v>
      </c>
      <c r="Q53" s="54" t="s">
        <v>17</v>
      </c>
      <c r="R53" s="54">
        <v>0.35</v>
      </c>
      <c r="S53" s="54">
        <v>0.15</v>
      </c>
      <c r="T53" s="54">
        <v>0.48</v>
      </c>
      <c r="U53" s="55">
        <f t="shared" si="4"/>
        <v>0.2496780761440488</v>
      </c>
      <c r="V53" s="54">
        <v>5</v>
      </c>
      <c r="W53" s="54">
        <v>25</v>
      </c>
      <c r="X53" s="54">
        <v>5</v>
      </c>
      <c r="Y53" s="54">
        <v>9</v>
      </c>
      <c r="Z53" s="55">
        <f t="shared" si="5"/>
        <v>0.46079999999999999</v>
      </c>
      <c r="AA53" s="55">
        <f t="shared" si="6"/>
        <v>2.1186115457646171</v>
      </c>
      <c r="AB53" s="55">
        <f t="shared" si="7"/>
        <v>0.32986722862692824</v>
      </c>
      <c r="AC53" s="55">
        <f t="shared" si="8"/>
        <v>1.4844025288211771</v>
      </c>
      <c r="AD53" s="55">
        <f t="shared" si="9"/>
        <v>0.79066722862692829</v>
      </c>
      <c r="AE53" s="55">
        <f t="shared" si="9"/>
        <v>3.6030140745857944</v>
      </c>
    </row>
    <row r="54" spans="4:31" hidden="1" x14ac:dyDescent="0.25">
      <c r="D54" s="46"/>
      <c r="E54" s="46"/>
      <c r="F54" s="46"/>
      <c r="G54" s="46"/>
      <c r="H54" s="56" t="s">
        <v>18</v>
      </c>
      <c r="I54" s="37">
        <v>0</v>
      </c>
      <c r="J54" s="38">
        <f t="shared" si="10"/>
        <v>0</v>
      </c>
      <c r="K54" s="39"/>
      <c r="L54" s="58"/>
      <c r="P54" s="54" t="s">
        <v>18</v>
      </c>
      <c r="Q54" s="54" t="s">
        <v>18</v>
      </c>
      <c r="R54" s="54">
        <v>0.4</v>
      </c>
      <c r="S54" s="54">
        <v>0.15</v>
      </c>
      <c r="T54" s="54">
        <v>0.53</v>
      </c>
      <c r="U54" s="55">
        <f t="shared" si="4"/>
        <v>0.28345019717013908</v>
      </c>
      <c r="V54" s="54">
        <v>5</v>
      </c>
      <c r="W54" s="54">
        <v>25</v>
      </c>
      <c r="X54" s="54">
        <v>5</v>
      </c>
      <c r="Y54" s="54">
        <v>9</v>
      </c>
      <c r="Z54" s="55">
        <f t="shared" si="5"/>
        <v>0.56180000000000008</v>
      </c>
      <c r="AA54" s="55">
        <f t="shared" si="6"/>
        <v>2.3738659488687879</v>
      </c>
      <c r="AB54" s="55">
        <f t="shared" si="7"/>
        <v>0.37699111843077515</v>
      </c>
      <c r="AC54" s="55">
        <f t="shared" si="8"/>
        <v>1.6964600329384882</v>
      </c>
      <c r="AD54" s="55">
        <f t="shared" si="9"/>
        <v>0.93879111843077523</v>
      </c>
      <c r="AE54" s="55">
        <f t="shared" si="9"/>
        <v>4.0703259818072759</v>
      </c>
    </row>
    <row r="55" spans="4:31" hidden="1" x14ac:dyDescent="0.25">
      <c r="D55" s="46"/>
      <c r="E55" s="46"/>
      <c r="F55" s="46"/>
      <c r="G55" s="46"/>
      <c r="H55" s="56" t="s">
        <v>19</v>
      </c>
      <c r="I55" s="37">
        <v>0</v>
      </c>
      <c r="J55" s="38">
        <f t="shared" si="10"/>
        <v>0</v>
      </c>
      <c r="K55" s="39"/>
      <c r="L55" s="58"/>
      <c r="P55" s="54" t="s">
        <v>19</v>
      </c>
      <c r="Q55" s="54" t="s">
        <v>19</v>
      </c>
      <c r="R55" s="54">
        <v>0.45</v>
      </c>
      <c r="S55" s="54">
        <v>0.15</v>
      </c>
      <c r="T55" s="54">
        <v>0.57999999999999996</v>
      </c>
      <c r="U55" s="55">
        <f t="shared" si="4"/>
        <v>0.31722231819622931</v>
      </c>
      <c r="V55" s="54">
        <v>5</v>
      </c>
      <c r="W55" s="54">
        <v>25</v>
      </c>
      <c r="X55" s="54">
        <v>5</v>
      </c>
      <c r="Y55" s="54">
        <v>9</v>
      </c>
      <c r="Z55" s="55">
        <f t="shared" si="5"/>
        <v>0.67279999999999995</v>
      </c>
      <c r="AA55" s="55">
        <f t="shared" si="6"/>
        <v>2.6291203519729573</v>
      </c>
      <c r="AB55" s="55">
        <f t="shared" si="7"/>
        <v>0.42411500823462206</v>
      </c>
      <c r="AC55" s="55">
        <f t="shared" si="8"/>
        <v>1.9085175370557992</v>
      </c>
      <c r="AD55" s="55">
        <f t="shared" si="9"/>
        <v>1.096915008234622</v>
      </c>
      <c r="AE55" s="55">
        <f t="shared" si="9"/>
        <v>4.5376378890287565</v>
      </c>
    </row>
    <row r="56" spans="4:31" hidden="1" x14ac:dyDescent="0.25">
      <c r="D56" s="46"/>
      <c r="E56" s="46"/>
      <c r="F56" s="46"/>
      <c r="G56" s="46"/>
      <c r="H56" s="56" t="s">
        <v>20</v>
      </c>
      <c r="I56" s="37">
        <v>0</v>
      </c>
      <c r="J56" s="38">
        <f t="shared" si="10"/>
        <v>0</v>
      </c>
      <c r="K56" s="39"/>
      <c r="L56" s="58"/>
      <c r="P56" s="54" t="s">
        <v>20</v>
      </c>
      <c r="Q56" s="54" t="s">
        <v>20</v>
      </c>
      <c r="R56" s="54">
        <v>0.5</v>
      </c>
      <c r="S56" s="54">
        <v>0.15</v>
      </c>
      <c r="T56" s="54">
        <v>0.63</v>
      </c>
      <c r="U56" s="55">
        <f t="shared" si="4"/>
        <v>0.35099443922231965</v>
      </c>
      <c r="V56" s="54">
        <v>5</v>
      </c>
      <c r="W56" s="54">
        <v>28</v>
      </c>
      <c r="X56" s="54">
        <v>5</v>
      </c>
      <c r="Y56" s="54">
        <v>10</v>
      </c>
      <c r="Z56" s="55">
        <f t="shared" si="5"/>
        <v>0.79380000000000006</v>
      </c>
      <c r="AA56" s="55">
        <f t="shared" si="6"/>
        <v>3.2304997256863848</v>
      </c>
      <c r="AB56" s="55">
        <f t="shared" si="7"/>
        <v>0.47123889803846897</v>
      </c>
      <c r="AC56" s="55">
        <f t="shared" si="8"/>
        <v>2.3561944901923448</v>
      </c>
      <c r="AD56" s="55">
        <f t="shared" si="9"/>
        <v>1.265038898038469</v>
      </c>
      <c r="AE56" s="55">
        <f t="shared" si="9"/>
        <v>5.5866942158787296</v>
      </c>
    </row>
    <row r="57" spans="4:31" hidden="1" x14ac:dyDescent="0.25">
      <c r="D57" s="46"/>
      <c r="E57" s="46"/>
      <c r="F57" s="46"/>
      <c r="G57" s="46"/>
      <c r="H57" s="56" t="s">
        <v>21</v>
      </c>
      <c r="I57" s="37">
        <v>0</v>
      </c>
      <c r="J57" s="38">
        <f t="shared" si="10"/>
        <v>0</v>
      </c>
      <c r="K57" s="39"/>
      <c r="L57" s="58"/>
      <c r="P57" s="54" t="s">
        <v>21</v>
      </c>
      <c r="Q57" s="54" t="s">
        <v>21</v>
      </c>
      <c r="R57" s="54">
        <v>0.6</v>
      </c>
      <c r="S57" s="54">
        <v>0.15</v>
      </c>
      <c r="T57" s="54">
        <v>0.73</v>
      </c>
      <c r="U57" s="55">
        <f t="shared" si="4"/>
        <v>0.41853868127450011</v>
      </c>
      <c r="V57" s="54">
        <v>5</v>
      </c>
      <c r="W57" s="54">
        <v>30</v>
      </c>
      <c r="X57" s="54">
        <v>5</v>
      </c>
      <c r="Y57" s="54">
        <v>11</v>
      </c>
      <c r="Z57" s="55">
        <f t="shared" si="5"/>
        <v>1.0657999999999999</v>
      </c>
      <c r="AA57" s="55">
        <f t="shared" si="6"/>
        <v>4.0738602735425626</v>
      </c>
      <c r="AB57" s="55">
        <f t="shared" si="7"/>
        <v>0.56548667764616278</v>
      </c>
      <c r="AC57" s="55">
        <f t="shared" si="8"/>
        <v>3.1101767270538954</v>
      </c>
      <c r="AD57" s="55">
        <f t="shared" si="9"/>
        <v>1.6312866776461625</v>
      </c>
      <c r="AE57" s="55">
        <f t="shared" si="9"/>
        <v>7.184037000596458</v>
      </c>
    </row>
    <row r="58" spans="4:31" hidden="1" x14ac:dyDescent="0.25">
      <c r="L58" s="59"/>
      <c r="P58" s="322"/>
      <c r="Q58" s="322"/>
      <c r="R58" s="322"/>
      <c r="S58" s="322"/>
      <c r="T58" s="322"/>
      <c r="U58" s="322"/>
      <c r="V58" s="441" t="s">
        <v>31</v>
      </c>
      <c r="W58" s="441"/>
    </row>
    <row r="59" spans="4:31" hidden="1" x14ac:dyDescent="0.25">
      <c r="L59" s="59"/>
      <c r="P59" s="322"/>
      <c r="Q59" s="322" t="s">
        <v>51</v>
      </c>
      <c r="R59" s="322" t="s">
        <v>6</v>
      </c>
      <c r="S59" s="322" t="s">
        <v>9</v>
      </c>
      <c r="T59" s="322" t="s">
        <v>10</v>
      </c>
      <c r="U59" s="322" t="s">
        <v>8</v>
      </c>
      <c r="V59" s="322" t="s">
        <v>4</v>
      </c>
      <c r="W59" s="322" t="s">
        <v>3</v>
      </c>
    </row>
    <row r="60" spans="4:31" x14ac:dyDescent="0.25">
      <c r="L60" s="59"/>
      <c r="P60" s="322" t="s">
        <v>32</v>
      </c>
      <c r="Q60" s="322" t="s">
        <v>32</v>
      </c>
      <c r="R60" s="60">
        <v>0</v>
      </c>
      <c r="S60" s="60">
        <v>0</v>
      </c>
      <c r="T60" s="322">
        <v>0</v>
      </c>
      <c r="U60" s="61">
        <f t="shared" ref="U60:U78" si="12">((PI()/4)*(T60^2))</f>
        <v>0</v>
      </c>
      <c r="V60" s="322">
        <v>5</v>
      </c>
      <c r="W60" s="54">
        <v>12</v>
      </c>
    </row>
    <row r="61" spans="4:31" x14ac:dyDescent="0.25">
      <c r="D61" s="62"/>
      <c r="E61" s="62">
        <f t="shared" ref="E61:E78" si="13">LOOKUP(H61,B.FLG,B.FLG.FRP)</f>
        <v>15</v>
      </c>
      <c r="F61" s="46"/>
      <c r="G61" s="46"/>
      <c r="H61" s="63" t="s">
        <v>36</v>
      </c>
      <c r="I61" s="37">
        <v>1</v>
      </c>
      <c r="J61" s="38">
        <f t="shared" ref="J61:J78" si="14">LOOKUP(H61,B.FLG,B.FLG.AREA)*(CEILING(D61/3,1))*I61</f>
        <v>0</v>
      </c>
      <c r="K61" s="39">
        <f>LOOKUP(H61,B.FLG,B.FLG.AREA)</f>
        <v>1.2667686977437444E-2</v>
      </c>
      <c r="L61" s="216">
        <v>0.22</v>
      </c>
      <c r="M61" s="179">
        <f>L61*I61</f>
        <v>0.22</v>
      </c>
      <c r="P61" s="322" t="s">
        <v>33</v>
      </c>
      <c r="Q61" s="322" t="s">
        <v>33</v>
      </c>
      <c r="R61" s="60">
        <v>1.4999999999999999E-2</v>
      </c>
      <c r="S61" s="60">
        <v>0.15</v>
      </c>
      <c r="T61" s="60">
        <v>8.8999999999999996E-2</v>
      </c>
      <c r="U61" s="61">
        <f t="shared" si="12"/>
        <v>6.221138852271187E-3</v>
      </c>
      <c r="V61" s="322">
        <v>5</v>
      </c>
      <c r="W61" s="54">
        <v>12</v>
      </c>
    </row>
    <row r="62" spans="4:31" x14ac:dyDescent="0.25">
      <c r="D62" s="62"/>
      <c r="E62" s="62">
        <f t="shared" si="13"/>
        <v>18</v>
      </c>
      <c r="F62" s="46"/>
      <c r="G62" s="46"/>
      <c r="H62" s="63" t="s">
        <v>40</v>
      </c>
      <c r="I62" s="37">
        <v>0</v>
      </c>
      <c r="J62" s="38">
        <f t="shared" si="14"/>
        <v>0</v>
      </c>
      <c r="K62" s="39">
        <f>LOOKUP(H62,B.FLG,B.FLG.AREA)</f>
        <v>4.1187065086725587E-2</v>
      </c>
      <c r="L62" s="216">
        <v>0.61</v>
      </c>
      <c r="M62" s="179">
        <f>L62*I62</f>
        <v>0</v>
      </c>
      <c r="P62" s="322" t="s">
        <v>34</v>
      </c>
      <c r="Q62" s="322" t="s">
        <v>34</v>
      </c>
      <c r="R62" s="60">
        <v>0.02</v>
      </c>
      <c r="S62" s="60">
        <v>0.15</v>
      </c>
      <c r="T62" s="60">
        <v>9.8000000000000004E-2</v>
      </c>
      <c r="U62" s="61">
        <f t="shared" si="12"/>
        <v>7.5429639612690945E-3</v>
      </c>
      <c r="V62" s="322">
        <v>5</v>
      </c>
      <c r="W62" s="54">
        <v>12</v>
      </c>
    </row>
    <row r="63" spans="4:31" hidden="1" x14ac:dyDescent="0.25">
      <c r="D63" s="62"/>
      <c r="E63" s="62">
        <f t="shared" si="13"/>
        <v>18</v>
      </c>
      <c r="F63" s="46"/>
      <c r="G63" s="46"/>
      <c r="H63" s="63" t="s">
        <v>39</v>
      </c>
      <c r="I63" s="37">
        <v>0</v>
      </c>
      <c r="J63" s="38">
        <f>LOOKUP(H63,B.FLG,B.FLG.AREA)*(CEILING(D63/3,1))*I63</f>
        <v>0</v>
      </c>
      <c r="K63" s="39">
        <f>LOOKUP(H63,B.FLG,B.FLG.AREA)</f>
        <v>2.8652110398902312E-2</v>
      </c>
      <c r="L63" s="64">
        <v>0.38</v>
      </c>
      <c r="M63" s="325">
        <f t="shared" ref="M63:M65" si="15">L63*I63</f>
        <v>0</v>
      </c>
      <c r="P63" s="322" t="s">
        <v>35</v>
      </c>
      <c r="Q63" s="322" t="s">
        <v>35</v>
      </c>
      <c r="R63" s="60">
        <v>2.5000000000000001E-2</v>
      </c>
      <c r="S63" s="60">
        <v>0.15</v>
      </c>
      <c r="T63" s="60">
        <v>0.108</v>
      </c>
      <c r="U63" s="61">
        <f t="shared" si="12"/>
        <v>9.1608841778678361E-3</v>
      </c>
      <c r="V63" s="322">
        <v>5</v>
      </c>
      <c r="W63" s="54">
        <v>12</v>
      </c>
    </row>
    <row r="64" spans="4:31" hidden="1" x14ac:dyDescent="0.25">
      <c r="D64" s="62"/>
      <c r="E64" s="62">
        <f t="shared" si="13"/>
        <v>18</v>
      </c>
      <c r="F64" s="46"/>
      <c r="G64" s="46"/>
      <c r="H64" s="63" t="s">
        <v>40</v>
      </c>
      <c r="I64" s="37">
        <v>0</v>
      </c>
      <c r="J64" s="38">
        <f t="shared" si="14"/>
        <v>0</v>
      </c>
      <c r="K64" s="39">
        <f>LOOKUP(H64,B.FLG,B.FLG.AREA)</f>
        <v>4.1187065086725587E-2</v>
      </c>
      <c r="L64" s="64">
        <v>0.46</v>
      </c>
      <c r="M64" s="325">
        <f t="shared" si="15"/>
        <v>0</v>
      </c>
      <c r="P64" s="322" t="s">
        <v>36</v>
      </c>
      <c r="Q64" s="322" t="s">
        <v>36</v>
      </c>
      <c r="R64" s="60">
        <v>0.04</v>
      </c>
      <c r="S64" s="60">
        <v>0.15</v>
      </c>
      <c r="T64" s="60">
        <v>0.127</v>
      </c>
      <c r="U64" s="61">
        <f t="shared" si="12"/>
        <v>1.2667686977437444E-2</v>
      </c>
      <c r="V64" s="322">
        <v>5</v>
      </c>
      <c r="W64" s="54">
        <v>15</v>
      </c>
    </row>
    <row r="65" spans="4:23" hidden="1" x14ac:dyDescent="0.25">
      <c r="D65" s="62"/>
      <c r="E65" s="62">
        <f t="shared" si="13"/>
        <v>25</v>
      </c>
      <c r="F65" s="46"/>
      <c r="G65" s="46"/>
      <c r="H65" s="63" t="s">
        <v>48</v>
      </c>
      <c r="I65" s="37">
        <v>0</v>
      </c>
      <c r="J65" s="38">
        <f t="shared" si="14"/>
        <v>0</v>
      </c>
      <c r="K65" s="39">
        <f>LOOKUP(H65,B.FLG,B.FLG.AREA)*1.5</f>
        <v>0.39631191325035237</v>
      </c>
      <c r="L65" s="64">
        <v>4.46</v>
      </c>
      <c r="M65" s="325">
        <f t="shared" si="15"/>
        <v>0</v>
      </c>
      <c r="P65" s="322" t="s">
        <v>37</v>
      </c>
      <c r="Q65" s="322" t="s">
        <v>37</v>
      </c>
      <c r="R65" s="60">
        <v>0.05</v>
      </c>
      <c r="S65" s="60">
        <v>0.15</v>
      </c>
      <c r="T65" s="60">
        <v>0.152</v>
      </c>
      <c r="U65" s="61">
        <f t="shared" si="12"/>
        <v>1.8145839167134643E-2</v>
      </c>
      <c r="V65" s="322">
        <v>5</v>
      </c>
      <c r="W65" s="54">
        <v>15</v>
      </c>
    </row>
    <row r="66" spans="4:23" hidden="1" x14ac:dyDescent="0.25">
      <c r="D66" s="62"/>
      <c r="E66" s="62">
        <f t="shared" si="13"/>
        <v>30</v>
      </c>
      <c r="F66" s="46"/>
      <c r="G66" s="46"/>
      <c r="H66" s="63" t="s">
        <v>50</v>
      </c>
      <c r="I66" s="37">
        <v>0</v>
      </c>
      <c r="J66" s="38">
        <f t="shared" si="14"/>
        <v>0</v>
      </c>
      <c r="K66" s="39">
        <f t="shared" ref="K66:K78" si="16">LOOKUP(H66,B.FLG,B.FLG.AREA)</f>
        <v>0.41853868127450011</v>
      </c>
      <c r="L66" s="65">
        <f t="shared" ref="L66" si="17">+E66*K66*I66</f>
        <v>0</v>
      </c>
      <c r="P66" s="322" t="s">
        <v>38</v>
      </c>
      <c r="Q66" s="322" t="s">
        <v>38</v>
      </c>
      <c r="R66" s="60">
        <v>6.5000000000000002E-2</v>
      </c>
      <c r="S66" s="60">
        <v>0.15</v>
      </c>
      <c r="T66" s="60">
        <v>0.17799999999999999</v>
      </c>
      <c r="U66" s="61">
        <f t="shared" si="12"/>
        <v>2.4884555409084748E-2</v>
      </c>
      <c r="V66" s="322">
        <v>5</v>
      </c>
      <c r="W66" s="54">
        <v>15</v>
      </c>
    </row>
    <row r="67" spans="4:23" hidden="1" x14ac:dyDescent="0.25">
      <c r="D67" s="62"/>
      <c r="E67" s="62">
        <f t="shared" si="13"/>
        <v>30</v>
      </c>
      <c r="F67" s="46"/>
      <c r="G67" s="46"/>
      <c r="H67" s="63" t="s">
        <v>50</v>
      </c>
      <c r="I67" s="37">
        <v>0</v>
      </c>
      <c r="J67" s="38">
        <f t="shared" si="14"/>
        <v>0</v>
      </c>
      <c r="K67" s="39">
        <f t="shared" si="16"/>
        <v>0.41853868127450011</v>
      </c>
      <c r="L67" s="64">
        <f>+E67*K67*I67*2</f>
        <v>0</v>
      </c>
      <c r="M67" s="325" t="s">
        <v>116</v>
      </c>
      <c r="P67" s="322" t="s">
        <v>39</v>
      </c>
      <c r="Q67" s="322" t="s">
        <v>39</v>
      </c>
      <c r="R67" s="60">
        <v>0.08</v>
      </c>
      <c r="S67" s="60">
        <v>0.15</v>
      </c>
      <c r="T67" s="60">
        <v>0.191</v>
      </c>
      <c r="U67" s="61">
        <f t="shared" si="12"/>
        <v>2.8652110398902312E-2</v>
      </c>
      <c r="V67" s="322">
        <v>5</v>
      </c>
      <c r="W67" s="54">
        <v>18</v>
      </c>
    </row>
    <row r="68" spans="4:23" hidden="1" x14ac:dyDescent="0.25">
      <c r="D68" s="62"/>
      <c r="E68" s="62">
        <f t="shared" si="13"/>
        <v>30</v>
      </c>
      <c r="F68" s="46"/>
      <c r="G68" s="46"/>
      <c r="H68" s="63" t="s">
        <v>50</v>
      </c>
      <c r="I68" s="37">
        <v>0</v>
      </c>
      <c r="J68" s="38">
        <f t="shared" si="14"/>
        <v>0</v>
      </c>
      <c r="K68" s="39">
        <f t="shared" si="16"/>
        <v>0.41853868127450011</v>
      </c>
      <c r="L68" s="39">
        <f t="shared" ref="L68:L78" si="18">+E68*K68*I68</f>
        <v>0</v>
      </c>
      <c r="P68" s="322" t="s">
        <v>40</v>
      </c>
      <c r="Q68" s="322" t="s">
        <v>40</v>
      </c>
      <c r="R68" s="60">
        <v>0.1</v>
      </c>
      <c r="S68" s="60">
        <v>0.15</v>
      </c>
      <c r="T68" s="60">
        <v>0.22900000000000001</v>
      </c>
      <c r="U68" s="61">
        <f t="shared" si="12"/>
        <v>4.1187065086725587E-2</v>
      </c>
      <c r="V68" s="322">
        <v>5</v>
      </c>
      <c r="W68" s="54">
        <v>18</v>
      </c>
    </row>
    <row r="69" spans="4:23" hidden="1" x14ac:dyDescent="0.25">
      <c r="D69" s="62"/>
      <c r="E69" s="62">
        <f t="shared" si="13"/>
        <v>30</v>
      </c>
      <c r="F69" s="46"/>
      <c r="G69" s="46"/>
      <c r="H69" s="63" t="s">
        <v>50</v>
      </c>
      <c r="I69" s="37">
        <v>0</v>
      </c>
      <c r="J69" s="38">
        <f t="shared" si="14"/>
        <v>0</v>
      </c>
      <c r="K69" s="39">
        <f t="shared" si="16"/>
        <v>0.41853868127450011</v>
      </c>
      <c r="L69" s="39">
        <f t="shared" si="18"/>
        <v>0</v>
      </c>
      <c r="M69" s="66"/>
      <c r="P69" s="322" t="s">
        <v>41</v>
      </c>
      <c r="Q69" s="322" t="s">
        <v>41</v>
      </c>
      <c r="R69" s="60">
        <v>0.125</v>
      </c>
      <c r="S69" s="60">
        <v>0.15</v>
      </c>
      <c r="T69" s="60">
        <v>0.254</v>
      </c>
      <c r="U69" s="61">
        <f t="shared" si="12"/>
        <v>5.0670747909749778E-2</v>
      </c>
      <c r="V69" s="322">
        <v>5</v>
      </c>
      <c r="W69" s="54">
        <v>18</v>
      </c>
    </row>
    <row r="70" spans="4:23" hidden="1" x14ac:dyDescent="0.25">
      <c r="D70" s="62"/>
      <c r="E70" s="62">
        <f t="shared" si="13"/>
        <v>20</v>
      </c>
      <c r="F70" s="46"/>
      <c r="G70" s="46"/>
      <c r="H70" s="63" t="s">
        <v>42</v>
      </c>
      <c r="I70" s="37">
        <v>0</v>
      </c>
      <c r="J70" s="38">
        <f t="shared" si="14"/>
        <v>0</v>
      </c>
      <c r="K70" s="39">
        <f t="shared" si="16"/>
        <v>6.1136178437020787E-2</v>
      </c>
      <c r="L70" s="39">
        <f t="shared" si="18"/>
        <v>0</v>
      </c>
      <c r="P70" s="322" t="s">
        <v>42</v>
      </c>
      <c r="Q70" s="322" t="s">
        <v>42</v>
      </c>
      <c r="R70" s="60">
        <v>0.15</v>
      </c>
      <c r="S70" s="60">
        <v>0.15</v>
      </c>
      <c r="T70" s="60">
        <v>0.27900000000000003</v>
      </c>
      <c r="U70" s="61">
        <f t="shared" si="12"/>
        <v>6.1136178437020787E-2</v>
      </c>
      <c r="V70" s="322">
        <v>5</v>
      </c>
      <c r="W70" s="54">
        <v>20</v>
      </c>
    </row>
    <row r="71" spans="4:23" hidden="1" x14ac:dyDescent="0.25">
      <c r="D71" s="62"/>
      <c r="E71" s="62">
        <f t="shared" si="13"/>
        <v>20</v>
      </c>
      <c r="F71" s="46"/>
      <c r="G71" s="46"/>
      <c r="H71" s="63" t="s">
        <v>43</v>
      </c>
      <c r="I71" s="37">
        <v>0</v>
      </c>
      <c r="J71" s="38">
        <f t="shared" si="14"/>
        <v>0</v>
      </c>
      <c r="K71" s="39">
        <f t="shared" si="16"/>
        <v>8.5529859993982132E-2</v>
      </c>
      <c r="L71" s="39">
        <f t="shared" si="18"/>
        <v>0</v>
      </c>
      <c r="P71" s="322" t="s">
        <v>43</v>
      </c>
      <c r="Q71" s="322" t="s">
        <v>43</v>
      </c>
      <c r="R71" s="60">
        <v>0.2</v>
      </c>
      <c r="S71" s="60">
        <v>0.15</v>
      </c>
      <c r="T71" s="60">
        <v>0.33</v>
      </c>
      <c r="U71" s="61">
        <f t="shared" si="12"/>
        <v>8.5529859993982132E-2</v>
      </c>
      <c r="V71" s="322">
        <v>5</v>
      </c>
      <c r="W71" s="54">
        <v>20</v>
      </c>
    </row>
    <row r="72" spans="4:23" hidden="1" x14ac:dyDescent="0.25">
      <c r="D72" s="62"/>
      <c r="E72" s="62">
        <f t="shared" si="13"/>
        <v>22</v>
      </c>
      <c r="F72" s="46"/>
      <c r="G72" s="46"/>
      <c r="H72" s="63" t="s">
        <v>44</v>
      </c>
      <c r="I72" s="37">
        <v>0</v>
      </c>
      <c r="J72" s="38">
        <f t="shared" si="14"/>
        <v>0</v>
      </c>
      <c r="K72" s="39">
        <f t="shared" si="16"/>
        <v>0.11341149479459153</v>
      </c>
      <c r="L72" s="39">
        <f t="shared" si="18"/>
        <v>0</v>
      </c>
      <c r="P72" s="322" t="s">
        <v>44</v>
      </c>
      <c r="Q72" s="322" t="s">
        <v>44</v>
      </c>
      <c r="R72" s="60">
        <v>0.25</v>
      </c>
      <c r="S72" s="60">
        <v>0.15</v>
      </c>
      <c r="T72" s="60">
        <v>0.38</v>
      </c>
      <c r="U72" s="61">
        <f t="shared" si="12"/>
        <v>0.11341149479459153</v>
      </c>
      <c r="V72" s="322">
        <v>5</v>
      </c>
      <c r="W72" s="54">
        <v>22</v>
      </c>
    </row>
    <row r="73" spans="4:23" hidden="1" x14ac:dyDescent="0.25">
      <c r="D73" s="62"/>
      <c r="E73" s="62">
        <f t="shared" si="13"/>
        <v>22</v>
      </c>
      <c r="F73" s="46"/>
      <c r="G73" s="46"/>
      <c r="H73" s="63" t="s">
        <v>45</v>
      </c>
      <c r="I73" s="37">
        <v>0</v>
      </c>
      <c r="J73" s="38">
        <f t="shared" si="14"/>
        <v>0</v>
      </c>
      <c r="K73" s="39">
        <f t="shared" si="16"/>
        <v>0.14522012041218818</v>
      </c>
      <c r="L73" s="39">
        <f t="shared" si="18"/>
        <v>0</v>
      </c>
      <c r="P73" s="322" t="s">
        <v>45</v>
      </c>
      <c r="Q73" s="322" t="s">
        <v>45</v>
      </c>
      <c r="R73" s="60">
        <v>0.3</v>
      </c>
      <c r="S73" s="60">
        <v>0.15</v>
      </c>
      <c r="T73" s="60">
        <v>0.43</v>
      </c>
      <c r="U73" s="61">
        <f t="shared" si="12"/>
        <v>0.14522012041218818</v>
      </c>
      <c r="V73" s="322">
        <v>5</v>
      </c>
      <c r="W73" s="54">
        <v>22</v>
      </c>
    </row>
    <row r="74" spans="4:23" hidden="1" x14ac:dyDescent="0.25">
      <c r="D74" s="62"/>
      <c r="E74" s="62">
        <f t="shared" si="13"/>
        <v>25</v>
      </c>
      <c r="F74" s="46"/>
      <c r="G74" s="46"/>
      <c r="H74" s="63" t="s">
        <v>46</v>
      </c>
      <c r="I74" s="37">
        <v>0</v>
      </c>
      <c r="J74" s="38">
        <f t="shared" si="14"/>
        <v>0</v>
      </c>
      <c r="K74" s="39">
        <f t="shared" si="16"/>
        <v>0.18095573684677208</v>
      </c>
      <c r="L74" s="39">
        <f t="shared" si="18"/>
        <v>0</v>
      </c>
      <c r="P74" s="322" t="s">
        <v>46</v>
      </c>
      <c r="Q74" s="322" t="s">
        <v>46</v>
      </c>
      <c r="R74" s="60">
        <v>0.35</v>
      </c>
      <c r="S74" s="60">
        <v>0.15</v>
      </c>
      <c r="T74" s="60">
        <v>0.48</v>
      </c>
      <c r="U74" s="61">
        <f t="shared" si="12"/>
        <v>0.18095573684677208</v>
      </c>
      <c r="V74" s="322">
        <v>5</v>
      </c>
      <c r="W74" s="54">
        <v>25</v>
      </c>
    </row>
    <row r="75" spans="4:23" hidden="1" x14ac:dyDescent="0.25">
      <c r="D75" s="62"/>
      <c r="E75" s="62">
        <f t="shared" si="13"/>
        <v>25</v>
      </c>
      <c r="F75" s="46"/>
      <c r="G75" s="46"/>
      <c r="H75" s="63" t="s">
        <v>47</v>
      </c>
      <c r="I75" s="37">
        <v>0</v>
      </c>
      <c r="J75" s="38">
        <f t="shared" si="14"/>
        <v>0</v>
      </c>
      <c r="K75" s="39">
        <f t="shared" si="16"/>
        <v>0.22061834409834324</v>
      </c>
      <c r="L75" s="39">
        <f t="shared" si="18"/>
        <v>0</v>
      </c>
      <c r="P75" s="322" t="s">
        <v>47</v>
      </c>
      <c r="Q75" s="322" t="s">
        <v>47</v>
      </c>
      <c r="R75" s="60">
        <v>0.4</v>
      </c>
      <c r="S75" s="60">
        <v>0.15</v>
      </c>
      <c r="T75" s="60">
        <v>0.53</v>
      </c>
      <c r="U75" s="61">
        <f t="shared" si="12"/>
        <v>0.22061834409834324</v>
      </c>
      <c r="V75" s="322">
        <v>5</v>
      </c>
      <c r="W75" s="54">
        <v>25</v>
      </c>
    </row>
    <row r="76" spans="4:23" hidden="1" x14ac:dyDescent="0.25">
      <c r="D76" s="62"/>
      <c r="E76" s="62">
        <f t="shared" si="13"/>
        <v>25</v>
      </c>
      <c r="F76" s="46"/>
      <c r="G76" s="46"/>
      <c r="H76" s="63" t="s">
        <v>48</v>
      </c>
      <c r="I76" s="37">
        <v>0</v>
      </c>
      <c r="J76" s="38">
        <f t="shared" si="14"/>
        <v>0</v>
      </c>
      <c r="K76" s="39">
        <f t="shared" si="16"/>
        <v>0.26420794216690158</v>
      </c>
      <c r="L76" s="39">
        <f t="shared" si="18"/>
        <v>0</v>
      </c>
      <c r="P76" s="322" t="s">
        <v>48</v>
      </c>
      <c r="Q76" s="322" t="s">
        <v>48</v>
      </c>
      <c r="R76" s="60">
        <v>0.45</v>
      </c>
      <c r="S76" s="60">
        <v>0.15</v>
      </c>
      <c r="T76" s="60">
        <v>0.57999999999999996</v>
      </c>
      <c r="U76" s="61">
        <f t="shared" si="12"/>
        <v>0.26420794216690158</v>
      </c>
      <c r="V76" s="322">
        <v>5</v>
      </c>
      <c r="W76" s="54">
        <v>25</v>
      </c>
    </row>
    <row r="77" spans="4:23" hidden="1" x14ac:dyDescent="0.25">
      <c r="D77" s="62"/>
      <c r="E77" s="62">
        <f t="shared" si="13"/>
        <v>28</v>
      </c>
      <c r="F77" s="46"/>
      <c r="G77" s="46"/>
      <c r="H77" s="63" t="s">
        <v>49</v>
      </c>
      <c r="I77" s="37">
        <v>0</v>
      </c>
      <c r="J77" s="38">
        <f t="shared" si="14"/>
        <v>0</v>
      </c>
      <c r="K77" s="39">
        <f t="shared" si="16"/>
        <v>0.31172453105244724</v>
      </c>
      <c r="L77" s="39">
        <f t="shared" si="18"/>
        <v>0</v>
      </c>
      <c r="P77" s="322" t="s">
        <v>49</v>
      </c>
      <c r="Q77" s="322" t="s">
        <v>49</v>
      </c>
      <c r="R77" s="60">
        <v>0.5</v>
      </c>
      <c r="S77" s="60">
        <v>0.15</v>
      </c>
      <c r="T77" s="60">
        <v>0.63</v>
      </c>
      <c r="U77" s="61">
        <f t="shared" si="12"/>
        <v>0.31172453105244724</v>
      </c>
      <c r="V77" s="322">
        <v>5</v>
      </c>
      <c r="W77" s="54">
        <v>28</v>
      </c>
    </row>
    <row r="78" spans="4:23" hidden="1" x14ac:dyDescent="0.25">
      <c r="D78" s="62"/>
      <c r="E78" s="62">
        <f t="shared" si="13"/>
        <v>30</v>
      </c>
      <c r="F78" s="46"/>
      <c r="G78" s="46"/>
      <c r="H78" s="63" t="s">
        <v>50</v>
      </c>
      <c r="I78" s="37">
        <v>0</v>
      </c>
      <c r="J78" s="38">
        <f t="shared" si="14"/>
        <v>0</v>
      </c>
      <c r="K78" s="39">
        <f t="shared" si="16"/>
        <v>0.41853868127450011</v>
      </c>
      <c r="L78" s="39">
        <f t="shared" si="18"/>
        <v>0</v>
      </c>
      <c r="P78" s="322" t="s">
        <v>50</v>
      </c>
      <c r="Q78" s="322" t="s">
        <v>50</v>
      </c>
      <c r="R78" s="60">
        <v>0.6</v>
      </c>
      <c r="S78" s="60">
        <v>0.15</v>
      </c>
      <c r="T78" s="60">
        <v>0.73</v>
      </c>
      <c r="U78" s="61">
        <f t="shared" si="12"/>
        <v>0.41853868127450011</v>
      </c>
      <c r="V78" s="322">
        <v>5</v>
      </c>
      <c r="W78" s="54">
        <v>30</v>
      </c>
    </row>
    <row r="80" spans="4:23" x14ac:dyDescent="0.25">
      <c r="J80" s="67">
        <f>SUM(J40:J79)*1.35</f>
        <v>1.4362401138341649</v>
      </c>
      <c r="L80" s="68"/>
      <c r="M80" s="67">
        <f>SUM(M40:M79)*1.25</f>
        <v>18.599999999999998</v>
      </c>
    </row>
    <row r="81" spans="2:17" s="66" customFormat="1" ht="12.75" x14ac:dyDescent="0.25">
      <c r="H81" s="69"/>
      <c r="J81" s="70">
        <f>J21</f>
        <v>0</v>
      </c>
      <c r="K81" s="71"/>
      <c r="L81" s="70" t="str">
        <f>L21</f>
        <v>BIS</v>
      </c>
      <c r="M81" s="72" t="str">
        <f>L21</f>
        <v>BIS</v>
      </c>
      <c r="N81" s="70" t="str">
        <f>M21</f>
        <v>BIS</v>
      </c>
      <c r="O81" s="73"/>
    </row>
    <row r="82" spans="2:17" ht="18" x14ac:dyDescent="0.25">
      <c r="C82" s="213" t="str">
        <f>'01_1.35 KL'!C82</f>
        <v>MOC BY PARAMOUNT &amp; THK AS PER JRF</v>
      </c>
      <c r="D82" s="214"/>
      <c r="E82" s="214"/>
      <c r="F82" s="214"/>
      <c r="G82" s="214"/>
      <c r="H82" s="215"/>
      <c r="J82" s="74">
        <f>SUM(J23:J37)</f>
        <v>8.6851873647178337</v>
      </c>
      <c r="K82" s="75"/>
      <c r="L82" s="74">
        <f>SUM(L23:L37)</f>
        <v>18.095573684677206</v>
      </c>
      <c r="M82" s="74">
        <f t="shared" ref="M82:N82" si="19">SUM(M23:M37)</f>
        <v>65.234379953379843</v>
      </c>
      <c r="N82" s="74">
        <f t="shared" si="19"/>
        <v>6.0318578948924024</v>
      </c>
    </row>
    <row r="83" spans="2:17" ht="18" x14ac:dyDescent="0.25">
      <c r="B83" s="327"/>
      <c r="D83" s="327"/>
      <c r="E83" s="327"/>
      <c r="F83" s="327"/>
      <c r="G83" s="327"/>
      <c r="H83" s="6"/>
      <c r="I83" s="327"/>
      <c r="J83" s="327" t="s">
        <v>77</v>
      </c>
      <c r="K83" s="76"/>
      <c r="L83" s="77" t="s">
        <v>78</v>
      </c>
      <c r="M83" s="78" t="s">
        <v>78</v>
      </c>
      <c r="N83" s="79" t="s">
        <v>78</v>
      </c>
      <c r="O83" s="327"/>
    </row>
    <row r="84" spans="2:17" s="86" customFormat="1" ht="20.25" customHeight="1" x14ac:dyDescent="0.25">
      <c r="B84" s="70" t="s">
        <v>117</v>
      </c>
      <c r="C84" s="80" t="s">
        <v>62</v>
      </c>
      <c r="D84" s="81"/>
      <c r="E84" s="81"/>
      <c r="F84" s="82"/>
      <c r="G84" s="83"/>
      <c r="H84" s="83" t="s">
        <v>63</v>
      </c>
      <c r="I84" s="83"/>
      <c r="J84" s="83" t="s">
        <v>64</v>
      </c>
      <c r="K84" s="84"/>
      <c r="L84" s="84"/>
      <c r="M84" s="84"/>
      <c r="N84" s="85"/>
    </row>
    <row r="85" spans="2:17" x14ac:dyDescent="0.25">
      <c r="B85" s="87" t="s">
        <v>88</v>
      </c>
      <c r="C85" s="88" t="s">
        <v>118</v>
      </c>
      <c r="D85" s="89">
        <f>J81</f>
        <v>0</v>
      </c>
      <c r="E85" s="320"/>
      <c r="F85" s="180"/>
      <c r="G85" s="179">
        <f>CEILING(J82*1.05,1)</f>
        <v>10</v>
      </c>
      <c r="H85" s="91">
        <f>'RESIN RATE'!E12</f>
        <v>0</v>
      </c>
      <c r="I85" s="39" t="s">
        <v>65</v>
      </c>
      <c r="J85" s="92">
        <f>+G85*H85</f>
        <v>0</v>
      </c>
      <c r="K85" s="93"/>
      <c r="N85" s="94">
        <f>+J81</f>
        <v>0</v>
      </c>
    </row>
    <row r="86" spans="2:17" x14ac:dyDescent="0.25">
      <c r="B86" s="87" t="s">
        <v>119</v>
      </c>
      <c r="C86" s="95" t="s">
        <v>79</v>
      </c>
      <c r="D86" s="409" t="str">
        <f>L81</f>
        <v>BIS</v>
      </c>
      <c r="E86" s="320" t="s">
        <v>197</v>
      </c>
      <c r="F86" s="180"/>
      <c r="G86" s="179">
        <f>CEILING(L82*1.1,1)</f>
        <v>20</v>
      </c>
      <c r="H86" s="91">
        <f>'RESIN RATE'!D12</f>
        <v>565</v>
      </c>
      <c r="I86" s="39" t="s">
        <v>65</v>
      </c>
      <c r="J86" s="92">
        <f t="shared" ref="J86:J110" si="20">+G86*H86</f>
        <v>11300</v>
      </c>
      <c r="K86" s="93"/>
      <c r="N86" s="94" t="s">
        <v>80</v>
      </c>
    </row>
    <row r="87" spans="2:17" x14ac:dyDescent="0.25">
      <c r="B87" s="87" t="s">
        <v>120</v>
      </c>
      <c r="C87" s="95" t="s">
        <v>79</v>
      </c>
      <c r="D87" s="409" t="str">
        <f>M81</f>
        <v>BIS</v>
      </c>
      <c r="E87" s="320" t="s">
        <v>197</v>
      </c>
      <c r="F87" s="180"/>
      <c r="G87" s="179">
        <f>CEILING(M82*1.1,1)</f>
        <v>72</v>
      </c>
      <c r="H87" s="91">
        <f>'RESIN RATE'!D12</f>
        <v>565</v>
      </c>
      <c r="I87" s="39" t="s">
        <v>65</v>
      </c>
      <c r="J87" s="92">
        <f t="shared" si="20"/>
        <v>40680</v>
      </c>
      <c r="K87" s="93"/>
      <c r="N87" s="94" t="s">
        <v>80</v>
      </c>
    </row>
    <row r="88" spans="2:17" x14ac:dyDescent="0.25">
      <c r="B88" s="87" t="s">
        <v>121</v>
      </c>
      <c r="C88" s="95" t="s">
        <v>79</v>
      </c>
      <c r="D88" s="409" t="str">
        <f>N81</f>
        <v>BIS</v>
      </c>
      <c r="E88" s="320" t="s">
        <v>197</v>
      </c>
      <c r="F88" s="180"/>
      <c r="G88" s="179">
        <f>CEILING(N82*1.1,1)</f>
        <v>7</v>
      </c>
      <c r="H88" s="91">
        <f>'RESIN RATE'!D12</f>
        <v>565</v>
      </c>
      <c r="I88" s="39" t="s">
        <v>65</v>
      </c>
      <c r="J88" s="92">
        <f t="shared" si="20"/>
        <v>3955</v>
      </c>
      <c r="K88" s="93"/>
      <c r="N88" s="94" t="s">
        <v>80</v>
      </c>
    </row>
    <row r="89" spans="2:17" x14ac:dyDescent="0.25">
      <c r="B89" s="87" t="s">
        <v>122</v>
      </c>
      <c r="C89" s="105" t="s">
        <v>123</v>
      </c>
      <c r="D89" s="106"/>
      <c r="E89" s="320"/>
      <c r="F89" s="180"/>
      <c r="G89" s="179">
        <v>1</v>
      </c>
      <c r="H89" s="107">
        <f>CEILING(G85*100,50)</f>
        <v>1000</v>
      </c>
      <c r="I89" s="39" t="s">
        <v>65</v>
      </c>
      <c r="J89" s="92">
        <f t="shared" si="20"/>
        <v>1000</v>
      </c>
      <c r="K89" s="93"/>
      <c r="N89" s="94" t="s">
        <v>81</v>
      </c>
    </row>
    <row r="90" spans="2:17" s="49" customFormat="1" x14ac:dyDescent="0.25">
      <c r="B90" s="96" t="s">
        <v>124</v>
      </c>
      <c r="C90" s="400" t="s">
        <v>327</v>
      </c>
      <c r="D90" s="401"/>
      <c r="E90" s="402"/>
      <c r="F90" s="403"/>
      <c r="G90" s="404">
        <v>4</v>
      </c>
      <c r="H90" s="405">
        <f>CEILING((0.1*1.2*10)*1.25*H86,50)</f>
        <v>850</v>
      </c>
      <c r="I90" s="406" t="s">
        <v>65</v>
      </c>
      <c r="J90" s="407">
        <f t="shared" si="20"/>
        <v>3400</v>
      </c>
      <c r="K90" s="408">
        <f>J90/H86</f>
        <v>6.0176991150442474</v>
      </c>
      <c r="N90" s="103" t="s">
        <v>81</v>
      </c>
      <c r="Q90" s="49" t="s">
        <v>125</v>
      </c>
    </row>
    <row r="91" spans="2:17" s="49" customFormat="1" x14ac:dyDescent="0.25">
      <c r="B91" s="96"/>
      <c r="C91" s="400" t="s">
        <v>331</v>
      </c>
      <c r="D91" s="401"/>
      <c r="E91" s="402"/>
      <c r="F91" s="403"/>
      <c r="G91" s="404">
        <v>1</v>
      </c>
      <c r="H91" s="405">
        <f>CEILING((0.3*0.15*4*8+0.3*0.3*20*0.1+0.3*0.3*20)*1.25*H86,50)</f>
        <v>2450</v>
      </c>
      <c r="I91" s="406" t="s">
        <v>65</v>
      </c>
      <c r="J91" s="407">
        <f t="shared" ref="J91" si="21">+G91*H91</f>
        <v>2450</v>
      </c>
      <c r="K91" s="408">
        <f>J91/H87</f>
        <v>4.336283185840708</v>
      </c>
      <c r="N91" s="103"/>
    </row>
    <row r="92" spans="2:17" x14ac:dyDescent="0.25">
      <c r="B92" s="87" t="s">
        <v>126</v>
      </c>
      <c r="C92" s="105" t="s">
        <v>68</v>
      </c>
      <c r="D92" s="106"/>
      <c r="E92" s="320"/>
      <c r="F92" s="180"/>
      <c r="G92" s="179">
        <v>1</v>
      </c>
      <c r="H92" s="107">
        <f>CEILING((SUM(J40:J78)*H85+SUM(M40:M65)*H86)*1.15,500)</f>
        <v>10000</v>
      </c>
      <c r="I92" s="39" t="s">
        <v>65</v>
      </c>
      <c r="J92" s="92">
        <f t="shared" si="20"/>
        <v>10000</v>
      </c>
      <c r="K92" s="93"/>
      <c r="N92" s="94" t="s">
        <v>80</v>
      </c>
    </row>
    <row r="93" spans="2:17" x14ac:dyDescent="0.25">
      <c r="B93" s="87" t="s">
        <v>127</v>
      </c>
      <c r="C93" s="108" t="s">
        <v>271</v>
      </c>
      <c r="D93" s="109"/>
      <c r="E93" s="320"/>
      <c r="F93" s="180"/>
      <c r="G93" s="179">
        <v>1</v>
      </c>
      <c r="H93" s="107">
        <f>CEILING((120*1+3000*1)*1.2,100)</f>
        <v>3800</v>
      </c>
      <c r="I93" s="39" t="s">
        <v>65</v>
      </c>
      <c r="J93" s="92">
        <f t="shared" si="20"/>
        <v>3800</v>
      </c>
      <c r="K93" s="93"/>
      <c r="N93" s="94" t="s">
        <v>81</v>
      </c>
    </row>
    <row r="94" spans="2:17" x14ac:dyDescent="0.25">
      <c r="B94" s="87" t="s">
        <v>128</v>
      </c>
      <c r="C94" s="108" t="s">
        <v>129</v>
      </c>
      <c r="D94" s="109"/>
      <c r="E94" s="320"/>
      <c r="F94" s="180"/>
      <c r="G94" s="179">
        <v>1</v>
      </c>
      <c r="H94" s="345">
        <f>CEILING((75*0+300*1+3500*1)*1.1,100)</f>
        <v>4200</v>
      </c>
      <c r="I94" s="39" t="s">
        <v>65</v>
      </c>
      <c r="J94" s="92">
        <f t="shared" si="20"/>
        <v>4200</v>
      </c>
      <c r="K94" s="93"/>
      <c r="N94" s="94" t="s">
        <v>81</v>
      </c>
    </row>
    <row r="95" spans="2:17" s="49" customFormat="1" x14ac:dyDescent="0.25">
      <c r="B95" s="96" t="s">
        <v>130</v>
      </c>
      <c r="C95" s="292" t="s">
        <v>131</v>
      </c>
      <c r="D95" s="293"/>
      <c r="E95" s="294"/>
      <c r="F95" s="313"/>
      <c r="G95" s="54">
        <v>0</v>
      </c>
      <c r="H95" s="295">
        <f>H93*0.9</f>
        <v>3420</v>
      </c>
      <c r="I95" s="55" t="s">
        <v>65</v>
      </c>
      <c r="J95" s="296">
        <f t="shared" si="20"/>
        <v>0</v>
      </c>
      <c r="K95" s="93"/>
      <c r="L95" s="325"/>
      <c r="N95" s="103" t="s">
        <v>81</v>
      </c>
    </row>
    <row r="96" spans="2:17" s="49" customFormat="1" x14ac:dyDescent="0.25">
      <c r="B96" s="96" t="s">
        <v>132</v>
      </c>
      <c r="C96" s="292" t="s">
        <v>133</v>
      </c>
      <c r="D96" s="293"/>
      <c r="E96" s="294"/>
      <c r="F96" s="313"/>
      <c r="G96" s="54">
        <v>0</v>
      </c>
      <c r="H96" s="295">
        <f>H94</f>
        <v>4200</v>
      </c>
      <c r="I96" s="55" t="s">
        <v>65</v>
      </c>
      <c r="J96" s="296">
        <f t="shared" si="20"/>
        <v>0</v>
      </c>
      <c r="K96" s="93"/>
      <c r="L96" s="325"/>
      <c r="N96" s="103" t="s">
        <v>81</v>
      </c>
    </row>
    <row r="97" spans="2:27" s="49" customFormat="1" x14ac:dyDescent="0.25">
      <c r="B97" s="96"/>
      <c r="C97" s="110" t="s">
        <v>134</v>
      </c>
      <c r="D97" s="111"/>
      <c r="E97" s="97"/>
      <c r="F97" s="98"/>
      <c r="G97" s="99">
        <v>1</v>
      </c>
      <c r="H97" s="100">
        <f>CEILING(PI()/4*(DIA^2)*12*2*80,50)</f>
        <v>1550</v>
      </c>
      <c r="I97" s="101" t="s">
        <v>65</v>
      </c>
      <c r="J97" s="102">
        <f t="shared" si="20"/>
        <v>1550</v>
      </c>
      <c r="K97" s="93"/>
      <c r="L97" s="325"/>
      <c r="N97" s="103" t="s">
        <v>81</v>
      </c>
    </row>
    <row r="98" spans="2:27" s="113" customFormat="1" x14ac:dyDescent="0.25">
      <c r="B98" s="87" t="s">
        <v>135</v>
      </c>
      <c r="C98" s="305" t="s">
        <v>136</v>
      </c>
      <c r="D98" s="306"/>
      <c r="E98" s="307"/>
      <c r="F98" s="308"/>
      <c r="G98" s="295">
        <v>0</v>
      </c>
      <c r="H98" s="309">
        <v>20000</v>
      </c>
      <c r="I98" s="55" t="s">
        <v>65</v>
      </c>
      <c r="J98" s="296">
        <f t="shared" si="20"/>
        <v>0</v>
      </c>
      <c r="K98" s="93"/>
      <c r="L98" s="325"/>
      <c r="M98" s="325"/>
      <c r="N98" s="112" t="s">
        <v>81</v>
      </c>
      <c r="P98" s="325"/>
      <c r="Q98" s="325"/>
      <c r="R98" s="325"/>
      <c r="S98" s="325"/>
      <c r="T98" s="325"/>
      <c r="U98" s="325"/>
      <c r="V98" s="325"/>
      <c r="W98" s="325"/>
      <c r="X98" s="325"/>
      <c r="Y98" s="325"/>
      <c r="Z98" s="325"/>
      <c r="AA98" s="325"/>
    </row>
    <row r="99" spans="2:27" x14ac:dyDescent="0.25">
      <c r="B99" s="87" t="s">
        <v>137</v>
      </c>
      <c r="C99" s="411" t="s">
        <v>89</v>
      </c>
      <c r="D99" s="391"/>
      <c r="E99" s="392"/>
      <c r="F99" s="393"/>
      <c r="G99" s="394">
        <v>4</v>
      </c>
      <c r="H99" s="395">
        <v>500</v>
      </c>
      <c r="I99" s="396" t="s">
        <v>65</v>
      </c>
      <c r="J99" s="397">
        <f t="shared" si="20"/>
        <v>2000</v>
      </c>
      <c r="K99" s="93"/>
      <c r="N99" s="94" t="s">
        <v>81</v>
      </c>
    </row>
    <row r="100" spans="2:27" x14ac:dyDescent="0.25">
      <c r="B100" s="87" t="s">
        <v>138</v>
      </c>
      <c r="C100" s="114" t="s">
        <v>139</v>
      </c>
      <c r="D100" s="115"/>
      <c r="E100" s="97"/>
      <c r="F100" s="98"/>
      <c r="G100" s="99">
        <v>3</v>
      </c>
      <c r="H100" s="100">
        <f>0.2*10*H86</f>
        <v>1130</v>
      </c>
      <c r="I100" s="101" t="s">
        <v>65</v>
      </c>
      <c r="J100" s="92">
        <f t="shared" si="20"/>
        <v>3390</v>
      </c>
      <c r="K100" s="38">
        <f>J100/H86</f>
        <v>6</v>
      </c>
      <c r="N100" s="94" t="s">
        <v>80</v>
      </c>
    </row>
    <row r="101" spans="2:27" x14ac:dyDescent="0.25">
      <c r="B101" s="87"/>
      <c r="C101" s="114" t="s">
        <v>140</v>
      </c>
      <c r="D101" s="115"/>
      <c r="E101" s="97"/>
      <c r="F101" s="98"/>
      <c r="G101" s="99">
        <v>3</v>
      </c>
      <c r="H101" s="100">
        <f>CEILING(2.4*110+0.9*H86,10)</f>
        <v>780</v>
      </c>
      <c r="I101" s="101" t="s">
        <v>65</v>
      </c>
      <c r="J101" s="92">
        <f>+G101*H101</f>
        <v>2340</v>
      </c>
      <c r="K101" s="38">
        <f>0.9*G101</f>
        <v>2.7</v>
      </c>
      <c r="N101" s="94" t="s">
        <v>82</v>
      </c>
    </row>
    <row r="102" spans="2:27" x14ac:dyDescent="0.25">
      <c r="B102" s="87" t="s">
        <v>141</v>
      </c>
      <c r="C102" s="297" t="s">
        <v>142</v>
      </c>
      <c r="D102" s="298"/>
      <c r="E102" s="299"/>
      <c r="F102" s="300"/>
      <c r="G102" s="301">
        <v>0</v>
      </c>
      <c r="H102" s="302">
        <f>CEILING((PI()*DIA*0.1*5+((0.2*0.2*18*2+0.15*0.15*12*2)*4))*8*75*1.25,500)</f>
        <v>7500</v>
      </c>
      <c r="I102" s="303" t="s">
        <v>65</v>
      </c>
      <c r="J102" s="304">
        <f t="shared" si="20"/>
        <v>0</v>
      </c>
      <c r="K102" s="93"/>
      <c r="N102" s="94" t="s">
        <v>82</v>
      </c>
    </row>
    <row r="103" spans="2:27" x14ac:dyDescent="0.25">
      <c r="B103" s="87" t="s">
        <v>143</v>
      </c>
      <c r="C103" s="292" t="s">
        <v>144</v>
      </c>
      <c r="D103" s="293"/>
      <c r="E103" s="294"/>
      <c r="F103" s="313"/>
      <c r="G103" s="54">
        <f>CEILING(PI()*DIA+HT,1)</f>
        <v>5</v>
      </c>
      <c r="H103" s="295">
        <v>0</v>
      </c>
      <c r="I103" s="55" t="s">
        <v>65</v>
      </c>
      <c r="J103" s="296">
        <f t="shared" si="20"/>
        <v>0</v>
      </c>
      <c r="K103" s="53">
        <f>+J103/250</f>
        <v>0</v>
      </c>
      <c r="N103" s="94" t="s">
        <v>82</v>
      </c>
    </row>
    <row r="104" spans="2:27" x14ac:dyDescent="0.25">
      <c r="B104" s="87" t="s">
        <v>145</v>
      </c>
      <c r="C104" s="108" t="s">
        <v>67</v>
      </c>
      <c r="D104" s="109"/>
      <c r="E104" s="320"/>
      <c r="F104" s="180"/>
      <c r="G104" s="179">
        <v>1</v>
      </c>
      <c r="H104" s="107">
        <v>750</v>
      </c>
      <c r="I104" s="39" t="s">
        <v>65</v>
      </c>
      <c r="J104" s="92">
        <f t="shared" si="20"/>
        <v>750</v>
      </c>
      <c r="K104" s="93"/>
      <c r="N104" s="94" t="s">
        <v>81</v>
      </c>
    </row>
    <row r="105" spans="2:27" x14ac:dyDescent="0.25">
      <c r="B105" s="87" t="s">
        <v>146</v>
      </c>
      <c r="C105" s="108" t="s">
        <v>147</v>
      </c>
      <c r="D105" s="109"/>
      <c r="E105" s="320"/>
      <c r="F105" s="180"/>
      <c r="G105" s="179">
        <v>0</v>
      </c>
      <c r="H105" s="107">
        <v>1000</v>
      </c>
      <c r="I105" s="39" t="s">
        <v>65</v>
      </c>
      <c r="J105" s="92">
        <f t="shared" si="20"/>
        <v>0</v>
      </c>
      <c r="K105" s="93"/>
      <c r="N105" s="94" t="s">
        <v>84</v>
      </c>
    </row>
    <row r="106" spans="2:27" x14ac:dyDescent="0.25">
      <c r="B106" s="87" t="s">
        <v>148</v>
      </c>
      <c r="C106" s="108" t="s">
        <v>69</v>
      </c>
      <c r="D106" s="109"/>
      <c r="E106" s="320"/>
      <c r="F106" s="180"/>
      <c r="G106" s="179">
        <v>1</v>
      </c>
      <c r="H106" s="107">
        <v>1500</v>
      </c>
      <c r="I106" s="39" t="s">
        <v>65</v>
      </c>
      <c r="J106" s="92">
        <f t="shared" si="20"/>
        <v>1500</v>
      </c>
      <c r="K106" s="93"/>
      <c r="N106" s="94" t="s">
        <v>83</v>
      </c>
    </row>
    <row r="107" spans="2:27" x14ac:dyDescent="0.25">
      <c r="B107" s="87" t="s">
        <v>149</v>
      </c>
      <c r="C107" s="292" t="s">
        <v>150</v>
      </c>
      <c r="D107" s="293"/>
      <c r="E107" s="294"/>
      <c r="F107" s="313"/>
      <c r="G107" s="54">
        <v>0</v>
      </c>
      <c r="H107" s="295">
        <v>2500</v>
      </c>
      <c r="I107" s="55" t="s">
        <v>65</v>
      </c>
      <c r="J107" s="296">
        <f t="shared" si="20"/>
        <v>0</v>
      </c>
      <c r="K107" s="93"/>
      <c r="N107" s="94" t="s">
        <v>83</v>
      </c>
    </row>
    <row r="108" spans="2:27" x14ac:dyDescent="0.25">
      <c r="B108" s="87" t="s">
        <v>151</v>
      </c>
      <c r="C108" s="108" t="s">
        <v>85</v>
      </c>
      <c r="D108" s="109"/>
      <c r="E108" s="320"/>
      <c r="F108" s="180"/>
      <c r="G108" s="179">
        <v>0</v>
      </c>
      <c r="H108" s="107">
        <v>0</v>
      </c>
      <c r="I108" s="39" t="s">
        <v>65</v>
      </c>
      <c r="J108" s="92">
        <f t="shared" si="20"/>
        <v>0</v>
      </c>
      <c r="N108" s="94" t="s">
        <v>86</v>
      </c>
    </row>
    <row r="109" spans="2:27" x14ac:dyDescent="0.25">
      <c r="B109" s="87" t="s">
        <v>152</v>
      </c>
      <c r="C109" s="182" t="s">
        <v>71</v>
      </c>
      <c r="D109" s="469">
        <f>+CEILING(M111,500)</f>
        <v>0</v>
      </c>
      <c r="E109" s="469"/>
      <c r="F109" s="180"/>
      <c r="G109" s="116">
        <v>0</v>
      </c>
      <c r="H109" s="107">
        <v>0</v>
      </c>
      <c r="I109" s="39" t="s">
        <v>65</v>
      </c>
      <c r="J109" s="92">
        <f t="shared" si="20"/>
        <v>0</v>
      </c>
      <c r="N109" s="94" t="s">
        <v>83</v>
      </c>
    </row>
    <row r="110" spans="2:27" x14ac:dyDescent="0.25">
      <c r="B110" s="87" t="s">
        <v>153</v>
      </c>
      <c r="C110" s="117" t="s">
        <v>72</v>
      </c>
      <c r="D110" s="118"/>
      <c r="E110" s="22"/>
      <c r="G110" s="116">
        <v>0</v>
      </c>
      <c r="H110" s="107">
        <v>0</v>
      </c>
      <c r="I110" s="39" t="s">
        <v>65</v>
      </c>
      <c r="J110" s="92">
        <f t="shared" si="20"/>
        <v>0</v>
      </c>
      <c r="N110" s="94" t="s">
        <v>83</v>
      </c>
    </row>
    <row r="111" spans="2:27" x14ac:dyDescent="0.25">
      <c r="B111" s="470" t="s">
        <v>66</v>
      </c>
      <c r="C111" s="471"/>
      <c r="D111" s="471"/>
      <c r="E111" s="471"/>
      <c r="F111" s="471"/>
      <c r="G111" s="471"/>
      <c r="H111" s="472"/>
      <c r="I111" s="119" t="s">
        <v>65</v>
      </c>
      <c r="J111" s="120">
        <f>SUM(J85:J110)</f>
        <v>92315</v>
      </c>
      <c r="K111" s="121">
        <f>J111+J114</f>
        <v>104815</v>
      </c>
      <c r="N111" s="53"/>
    </row>
    <row r="112" spans="2:27" x14ac:dyDescent="0.25">
      <c r="B112" s="314"/>
      <c r="C112" s="315"/>
      <c r="D112" s="122"/>
      <c r="E112" s="122"/>
      <c r="F112" s="122"/>
      <c r="G112" s="122"/>
      <c r="H112" s="122"/>
      <c r="I112" s="123"/>
      <c r="J112" s="124">
        <v>0.65</v>
      </c>
      <c r="K112" s="93"/>
      <c r="N112" s="53"/>
    </row>
    <row r="113" spans="2:22" x14ac:dyDescent="0.25">
      <c r="B113" s="341"/>
      <c r="C113" s="342"/>
      <c r="D113" s="122"/>
      <c r="E113" s="122"/>
      <c r="F113" s="122"/>
      <c r="G113" s="122"/>
      <c r="H113" s="122"/>
      <c r="I113" s="340" t="s">
        <v>70</v>
      </c>
      <c r="J113" s="120">
        <f>J111/J112</f>
        <v>142023.07692307691</v>
      </c>
      <c r="K113" s="93"/>
      <c r="N113" s="53"/>
    </row>
    <row r="114" spans="2:22" x14ac:dyDescent="0.25">
      <c r="B114" s="343"/>
      <c r="C114" s="343"/>
      <c r="D114" s="123"/>
      <c r="E114" s="123"/>
      <c r="F114" s="123"/>
      <c r="G114" s="123"/>
      <c r="I114" s="340" t="s">
        <v>259</v>
      </c>
      <c r="J114" s="120">
        <v>12500</v>
      </c>
      <c r="K114" s="93"/>
      <c r="N114" s="53"/>
    </row>
    <row r="115" spans="2:22" x14ac:dyDescent="0.25">
      <c r="B115" s="344"/>
      <c r="C115" s="343"/>
      <c r="D115" s="93"/>
      <c r="E115" s="93"/>
      <c r="F115" s="93"/>
      <c r="G115" s="93"/>
      <c r="H115" s="125"/>
      <c r="I115" s="125"/>
      <c r="J115" s="126">
        <f>J113+J114</f>
        <v>154523.07692307691</v>
      </c>
      <c r="K115" s="125"/>
      <c r="N115" s="93"/>
    </row>
    <row r="116" spans="2:22" x14ac:dyDescent="0.25">
      <c r="B116" s="344"/>
      <c r="C116" s="343"/>
      <c r="D116" s="93"/>
      <c r="I116" s="329"/>
      <c r="J116" s="127">
        <v>0.9</v>
      </c>
      <c r="K116" s="128"/>
      <c r="S116" s="129" t="s">
        <v>154</v>
      </c>
      <c r="T116" s="129" t="s">
        <v>155</v>
      </c>
      <c r="U116" s="130" t="s">
        <v>156</v>
      </c>
    </row>
    <row r="117" spans="2:22" ht="18" x14ac:dyDescent="0.25">
      <c r="B117" s="344"/>
      <c r="C117" s="343"/>
      <c r="I117" s="329"/>
      <c r="J117" s="131">
        <f>CEILING(J115/J116,500)</f>
        <v>172000</v>
      </c>
      <c r="K117" s="125"/>
      <c r="R117" s="132" t="str">
        <f>+D86</f>
        <v>BIS</v>
      </c>
      <c r="S117" s="133">
        <f>+L80+G86</f>
        <v>20</v>
      </c>
      <c r="T117" s="134">
        <v>122</v>
      </c>
      <c r="U117" s="92">
        <f>+S117*T117</f>
        <v>2440</v>
      </c>
    </row>
    <row r="118" spans="2:22" x14ac:dyDescent="0.25">
      <c r="B118" s="344"/>
      <c r="C118" s="343"/>
      <c r="I118" s="329"/>
      <c r="J118" s="53"/>
      <c r="R118" s="132" t="str">
        <f>+D87</f>
        <v>BIS</v>
      </c>
      <c r="S118" s="133">
        <f>+G87</f>
        <v>72</v>
      </c>
      <c r="T118" s="134">
        <v>122</v>
      </c>
      <c r="U118" s="92">
        <f>+S118*T118</f>
        <v>8784</v>
      </c>
    </row>
    <row r="119" spans="2:22" x14ac:dyDescent="0.25">
      <c r="B119" s="26"/>
      <c r="C119" s="458" t="str">
        <f>D4</f>
        <v>M/s PARAMOUNT</v>
      </c>
      <c r="D119" s="458"/>
      <c r="E119" s="458"/>
      <c r="F119" s="458"/>
      <c r="G119" s="491" t="str">
        <f>M2</f>
        <v>R1</v>
      </c>
      <c r="H119" s="494" t="str">
        <f>N2</f>
        <v>05</v>
      </c>
      <c r="I119" s="473">
        <f>D2</f>
        <v>44530</v>
      </c>
      <c r="J119" s="329"/>
      <c r="K119" s="329"/>
      <c r="S119" s="129"/>
      <c r="T119" s="135"/>
      <c r="U119" s="136">
        <f>SUM(U117:U118)</f>
        <v>11224</v>
      </c>
      <c r="V119" s="113"/>
    </row>
    <row r="120" spans="2:22" x14ac:dyDescent="0.25">
      <c r="B120" s="26"/>
      <c r="C120" s="428" t="str">
        <f>D6</f>
        <v>ALKALI MEASURING TANK (SBA)</v>
      </c>
      <c r="D120" s="429"/>
      <c r="E120" s="429"/>
      <c r="F120" s="430"/>
      <c r="G120" s="492"/>
      <c r="H120" s="495"/>
      <c r="I120" s="474"/>
      <c r="J120" s="329"/>
      <c r="K120" s="329"/>
      <c r="S120" s="129"/>
      <c r="T120" s="135"/>
      <c r="U120" s="136"/>
      <c r="V120" s="113"/>
    </row>
    <row r="121" spans="2:22" x14ac:dyDescent="0.25">
      <c r="B121" s="26"/>
      <c r="C121" s="431" t="str">
        <f>D20</f>
        <v>M.O.C- FRP (BISPHENOL)</v>
      </c>
      <c r="D121" s="432"/>
      <c r="E121" s="432"/>
      <c r="F121" s="433"/>
      <c r="G121" s="493"/>
      <c r="H121" s="496"/>
      <c r="I121" s="475"/>
      <c r="J121" s="329"/>
      <c r="K121" s="329"/>
      <c r="S121" s="129"/>
      <c r="T121" s="137">
        <f>+B114</f>
        <v>0</v>
      </c>
      <c r="U121" s="138">
        <f>+C114</f>
        <v>0</v>
      </c>
    </row>
    <row r="122" spans="2:22" ht="20.25" x14ac:dyDescent="0.25">
      <c r="B122" s="26"/>
      <c r="C122" s="319" t="s">
        <v>91</v>
      </c>
      <c r="D122" s="355">
        <f>D5</f>
        <v>0.94247779607693793</v>
      </c>
      <c r="E122" s="320" t="s">
        <v>92</v>
      </c>
      <c r="F122" s="321"/>
      <c r="G122" s="330"/>
      <c r="H122" s="318"/>
      <c r="I122" s="317"/>
      <c r="J122" s="329"/>
      <c r="K122" s="329"/>
      <c r="S122" s="129"/>
      <c r="T122" s="137"/>
      <c r="U122" s="138"/>
    </row>
    <row r="123" spans="2:22" s="327" customFormat="1" ht="17.25" customHeight="1" x14ac:dyDescent="0.25">
      <c r="B123" s="139"/>
      <c r="C123" s="205"/>
      <c r="D123" s="207" t="s">
        <v>154</v>
      </c>
      <c r="E123" s="437" t="s">
        <v>195</v>
      </c>
      <c r="F123" s="438"/>
      <c r="G123" s="208" t="s">
        <v>156</v>
      </c>
      <c r="H123" s="127" t="s">
        <v>159</v>
      </c>
      <c r="I123" s="127" t="s">
        <v>160</v>
      </c>
      <c r="J123" s="6"/>
      <c r="K123" s="6"/>
      <c r="S123" s="140"/>
      <c r="T123" s="141">
        <f>+B117</f>
        <v>0</v>
      </c>
      <c r="U123" s="143">
        <f>+C117</f>
        <v>0</v>
      </c>
      <c r="V123" s="27"/>
    </row>
    <row r="124" spans="2:22" s="327" customFormat="1" ht="17.25" customHeight="1" x14ac:dyDescent="0.25">
      <c r="B124" s="139"/>
      <c r="C124" s="205">
        <f>D22</f>
        <v>0</v>
      </c>
      <c r="D124" s="333">
        <f>CEILING(G85+J80,1)</f>
        <v>12</v>
      </c>
      <c r="E124" s="134">
        <f>'RESIN RATE'!E6</f>
        <v>0</v>
      </c>
      <c r="F124" s="144">
        <f>D124*E124</f>
        <v>0</v>
      </c>
      <c r="G124" s="144">
        <f>F124</f>
        <v>0</v>
      </c>
      <c r="H124" s="334">
        <v>0.6</v>
      </c>
      <c r="I124" s="92">
        <f>G124/H124</f>
        <v>0</v>
      </c>
      <c r="J124" s="6"/>
      <c r="K124" s="6"/>
      <c r="S124" s="140"/>
      <c r="T124" s="141"/>
      <c r="U124" s="143"/>
      <c r="V124" s="27"/>
    </row>
    <row r="125" spans="2:22" ht="17.25" customHeight="1" x14ac:dyDescent="0.25">
      <c r="B125" s="26"/>
      <c r="C125" s="211" t="str">
        <f>D86</f>
        <v>BIS</v>
      </c>
      <c r="D125" s="145">
        <f>G86+G87+G88+M80+K90+K91+K100+K101</f>
        <v>136.65398230088493</v>
      </c>
      <c r="E125" s="134">
        <f>'RESIN RATE'!D6</f>
        <v>325</v>
      </c>
      <c r="F125" s="144">
        <f>+D125*E125</f>
        <v>44412.544247787606</v>
      </c>
      <c r="G125" s="436">
        <f>SUM(F125:F126)</f>
        <v>44412.544247787606</v>
      </c>
      <c r="H125" s="435">
        <v>0.45</v>
      </c>
      <c r="I125" s="434">
        <f>G125/H125</f>
        <v>98694.542772861343</v>
      </c>
      <c r="J125" s="329"/>
      <c r="K125" s="329"/>
      <c r="S125" s="129"/>
      <c r="T125" s="135" t="e">
        <f>+#REF!</f>
        <v>#REF!</v>
      </c>
      <c r="U125" s="137" t="e">
        <f>+#REF!</f>
        <v>#REF!</v>
      </c>
      <c r="V125" s="146"/>
    </row>
    <row r="126" spans="2:22" x14ac:dyDescent="0.25">
      <c r="B126" s="147"/>
      <c r="C126" s="211" t="str">
        <f>D88</f>
        <v>BIS</v>
      </c>
      <c r="D126" s="145">
        <v>0</v>
      </c>
      <c r="E126" s="134">
        <f>'RESIN RATE'!D6</f>
        <v>325</v>
      </c>
      <c r="F126" s="144">
        <f t="shared" ref="F126:F128" si="22">+D126*E126</f>
        <v>0</v>
      </c>
      <c r="G126" s="436"/>
      <c r="H126" s="435"/>
      <c r="I126" s="434"/>
      <c r="J126" s="329"/>
      <c r="K126" s="329"/>
      <c r="S126" s="146"/>
      <c r="T126" s="129"/>
      <c r="U126" s="148" t="e">
        <f>+U119+#REF!</f>
        <v>#REF!</v>
      </c>
      <c r="V126" s="146"/>
    </row>
    <row r="127" spans="2:22" x14ac:dyDescent="0.25">
      <c r="B127" s="147"/>
      <c r="C127" s="150" t="s">
        <v>157</v>
      </c>
      <c r="D127" s="145">
        <f>(D125+D126)*0.5</f>
        <v>68.326991150442467</v>
      </c>
      <c r="E127" s="134">
        <v>198</v>
      </c>
      <c r="F127" s="144">
        <f t="shared" si="22"/>
        <v>13528.744247787608</v>
      </c>
      <c r="G127" s="436">
        <f>SUM(F127:F128)</f>
        <v>16261.823893805307</v>
      </c>
      <c r="H127" s="435">
        <v>0.55000000000000004</v>
      </c>
      <c r="I127" s="434">
        <f>G127/H127</f>
        <v>29566.952534191467</v>
      </c>
      <c r="J127" s="329"/>
      <c r="K127" s="329"/>
    </row>
    <row r="128" spans="2:22" x14ac:dyDescent="0.25">
      <c r="B128" s="147"/>
      <c r="C128" s="150" t="s">
        <v>158</v>
      </c>
      <c r="D128" s="145">
        <f>+D126+D125</f>
        <v>136.65398230088493</v>
      </c>
      <c r="E128" s="134">
        <v>20</v>
      </c>
      <c r="F128" s="144">
        <f t="shared" si="22"/>
        <v>2733.0796460176989</v>
      </c>
      <c r="G128" s="436"/>
      <c r="H128" s="435"/>
      <c r="I128" s="434"/>
      <c r="J128" s="329"/>
      <c r="K128" s="329"/>
    </row>
    <row r="129" spans="2:11" x14ac:dyDescent="0.25">
      <c r="B129" s="147"/>
      <c r="C129" s="339" t="s">
        <v>264</v>
      </c>
      <c r="D129" s="145">
        <v>1</v>
      </c>
      <c r="E129" s="134"/>
      <c r="F129" s="144">
        <f>J89</f>
        <v>1000</v>
      </c>
      <c r="G129" s="316">
        <f>F129</f>
        <v>1000</v>
      </c>
      <c r="H129" s="338">
        <v>0.6</v>
      </c>
      <c r="I129" s="336">
        <f>G129/H129</f>
        <v>1666.6666666666667</v>
      </c>
      <c r="J129" s="329"/>
      <c r="K129" s="329"/>
    </row>
    <row r="130" spans="2:11" x14ac:dyDescent="0.25">
      <c r="B130" s="147"/>
      <c r="C130" s="479" t="s">
        <v>81</v>
      </c>
      <c r="D130" s="198" t="s">
        <v>260</v>
      </c>
      <c r="E130" s="134"/>
      <c r="F130" s="92">
        <f>J93+J95</f>
        <v>3800</v>
      </c>
      <c r="G130" s="482">
        <f>SUM(F130:F138)</f>
        <v>16890</v>
      </c>
      <c r="H130" s="488">
        <v>0.7</v>
      </c>
      <c r="I130" s="485">
        <f>G130/H130</f>
        <v>24128.571428571431</v>
      </c>
      <c r="J130" s="329"/>
      <c r="K130" s="329"/>
    </row>
    <row r="131" spans="2:11" x14ac:dyDescent="0.25">
      <c r="B131" s="147"/>
      <c r="C131" s="480"/>
      <c r="D131" s="198" t="s">
        <v>261</v>
      </c>
      <c r="E131" s="134"/>
      <c r="F131" s="92">
        <f>J94+J96</f>
        <v>4200</v>
      </c>
      <c r="G131" s="483"/>
      <c r="H131" s="489"/>
      <c r="I131" s="486"/>
      <c r="J131" s="329"/>
      <c r="K131" s="329"/>
    </row>
    <row r="132" spans="2:11" x14ac:dyDescent="0.25">
      <c r="B132" s="26"/>
      <c r="C132" s="480"/>
      <c r="D132" s="149" t="s">
        <v>162</v>
      </c>
      <c r="E132" s="134"/>
      <c r="F132" s="92">
        <f>J101</f>
        <v>2340</v>
      </c>
      <c r="G132" s="483"/>
      <c r="H132" s="489"/>
      <c r="I132" s="486"/>
      <c r="J132" s="329"/>
      <c r="K132" s="329"/>
    </row>
    <row r="133" spans="2:11" ht="25.5" x14ac:dyDescent="0.25">
      <c r="B133" s="26"/>
      <c r="C133" s="480"/>
      <c r="D133" s="149" t="s">
        <v>134</v>
      </c>
      <c r="E133" s="134"/>
      <c r="F133" s="92">
        <f>J97</f>
        <v>1550</v>
      </c>
      <c r="G133" s="483"/>
      <c r="H133" s="489"/>
      <c r="I133" s="486"/>
      <c r="J133" s="329"/>
      <c r="K133" s="329"/>
    </row>
    <row r="134" spans="2:11" s="382" customFormat="1" x14ac:dyDescent="0.25">
      <c r="B134" s="26"/>
      <c r="C134" s="480"/>
      <c r="D134" s="410" t="s">
        <v>336</v>
      </c>
      <c r="E134" s="134"/>
      <c r="F134" s="92">
        <f>J99</f>
        <v>2000</v>
      </c>
      <c r="G134" s="483"/>
      <c r="H134" s="489"/>
      <c r="I134" s="486"/>
      <c r="J134" s="383"/>
      <c r="K134" s="383"/>
    </row>
    <row r="135" spans="2:11" x14ac:dyDescent="0.25">
      <c r="B135" s="26"/>
      <c r="C135" s="480"/>
      <c r="D135" s="149" t="s">
        <v>84</v>
      </c>
      <c r="E135" s="134"/>
      <c r="F135" s="92">
        <f t="shared" ref="F135" si="23">J104</f>
        <v>750</v>
      </c>
      <c r="G135" s="483"/>
      <c r="H135" s="489"/>
      <c r="I135" s="486"/>
      <c r="J135" s="329"/>
      <c r="K135" s="329"/>
    </row>
    <row r="136" spans="2:11" x14ac:dyDescent="0.25">
      <c r="B136" s="26"/>
      <c r="C136" s="480"/>
      <c r="D136" s="149" t="s">
        <v>268</v>
      </c>
      <c r="E136" s="134"/>
      <c r="F136" s="92">
        <f>J104</f>
        <v>750</v>
      </c>
      <c r="G136" s="483"/>
      <c r="H136" s="489"/>
      <c r="I136" s="486"/>
      <c r="J136" s="329"/>
      <c r="K136" s="329"/>
    </row>
    <row r="137" spans="2:11" x14ac:dyDescent="0.25">
      <c r="B137" s="26"/>
      <c r="C137" s="480"/>
      <c r="D137" s="149" t="s">
        <v>262</v>
      </c>
      <c r="E137" s="134"/>
      <c r="F137" s="92">
        <f>J106</f>
        <v>1500</v>
      </c>
      <c r="G137" s="483"/>
      <c r="H137" s="489"/>
      <c r="I137" s="486"/>
      <c r="J137" s="329"/>
      <c r="K137" s="329"/>
    </row>
    <row r="138" spans="2:11" ht="15" customHeight="1" x14ac:dyDescent="0.25">
      <c r="C138" s="481"/>
      <c r="D138" s="337" t="s">
        <v>263</v>
      </c>
      <c r="E138" s="337"/>
      <c r="F138" s="92">
        <f>J107</f>
        <v>0</v>
      </c>
      <c r="G138" s="484"/>
      <c r="H138" s="490"/>
      <c r="I138" s="487"/>
      <c r="J138" s="329"/>
      <c r="K138" s="329"/>
    </row>
    <row r="139" spans="2:11" ht="15.75" x14ac:dyDescent="0.25">
      <c r="B139" s="26"/>
      <c r="C139" s="179"/>
      <c r="D139" s="179"/>
      <c r="E139" s="179"/>
      <c r="F139" s="153" t="s">
        <v>57</v>
      </c>
      <c r="G139" s="153">
        <f>SUM(G125:G138)</f>
        <v>78564.368141592917</v>
      </c>
      <c r="H139" s="200">
        <f>G139/I139</f>
        <v>0.50850723716241375</v>
      </c>
      <c r="I139" s="153">
        <f>CEILING(SUM(I124:I138),500)</f>
        <v>154500</v>
      </c>
      <c r="J139" s="146"/>
      <c r="K139" s="329"/>
    </row>
    <row r="140" spans="2:11" x14ac:dyDescent="0.25">
      <c r="B140" s="26"/>
      <c r="C140" s="193" t="s">
        <v>70</v>
      </c>
      <c r="D140" s="194" t="s">
        <v>312</v>
      </c>
      <c r="E140" s="195"/>
      <c r="F140" s="196"/>
      <c r="G140" s="197"/>
      <c r="H140" s="217"/>
      <c r="I140" s="151">
        <f>J114</f>
        <v>12500</v>
      </c>
      <c r="J140" s="6"/>
      <c r="K140" s="6"/>
    </row>
    <row r="141" spans="2:11" ht="22.5" customHeight="1" x14ac:dyDescent="0.25">
      <c r="B141" s="155"/>
      <c r="F141" s="152"/>
      <c r="G141" s="152"/>
      <c r="H141" s="218">
        <f>G139/I141</f>
        <v>0.47044531821313124</v>
      </c>
      <c r="I141" s="199">
        <f>I139+I140</f>
        <v>167000</v>
      </c>
      <c r="J141" s="146"/>
      <c r="K141" s="329"/>
    </row>
    <row r="142" spans="2:11" ht="15.75" x14ac:dyDescent="0.25">
      <c r="C142" s="456" t="s">
        <v>164</v>
      </c>
      <c r="D142" s="457">
        <f>G139+I140</f>
        <v>91064.368141592917</v>
      </c>
      <c r="H142" s="142" t="s">
        <v>163</v>
      </c>
      <c r="I142" s="154">
        <v>0.9</v>
      </c>
      <c r="J142" s="146"/>
      <c r="K142" s="329"/>
    </row>
    <row r="143" spans="2:11" ht="18" x14ac:dyDescent="0.25">
      <c r="C143" s="456"/>
      <c r="D143" s="457"/>
      <c r="H143" s="218">
        <f>G139/I143</f>
        <v>0.42238907603006942</v>
      </c>
      <c r="I143" s="156">
        <f>CEILING(I141/I142,500)</f>
        <v>186000</v>
      </c>
      <c r="J143" s="209"/>
      <c r="K143" s="210"/>
    </row>
  </sheetData>
  <sheetProtection selectLockedCells="1"/>
  <autoFilter ref="L84:N116"/>
  <mergeCells count="41">
    <mergeCell ref="M2:M4"/>
    <mergeCell ref="N2:N4"/>
    <mergeCell ref="J5:J7"/>
    <mergeCell ref="L5:L7"/>
    <mergeCell ref="R8:R10"/>
    <mergeCell ref="Z37:AA37"/>
    <mergeCell ref="AB37:AC37"/>
    <mergeCell ref="AD37:AE37"/>
    <mergeCell ref="V58:W58"/>
    <mergeCell ref="F10:G12"/>
    <mergeCell ref="J11:L11"/>
    <mergeCell ref="J12:L12"/>
    <mergeCell ref="J13:L13"/>
    <mergeCell ref="J14:L14"/>
    <mergeCell ref="D21:G21"/>
    <mergeCell ref="H21:H22"/>
    <mergeCell ref="I21:I22"/>
    <mergeCell ref="T8:T10"/>
    <mergeCell ref="I119:I121"/>
    <mergeCell ref="C120:F120"/>
    <mergeCell ref="C121:F121"/>
    <mergeCell ref="V37:W37"/>
    <mergeCell ref="X37:Y37"/>
    <mergeCell ref="D109:E109"/>
    <mergeCell ref="B111:H111"/>
    <mergeCell ref="C119:F119"/>
    <mergeCell ref="G119:G121"/>
    <mergeCell ref="H119:H121"/>
    <mergeCell ref="E123:F123"/>
    <mergeCell ref="G125:G126"/>
    <mergeCell ref="H125:H126"/>
    <mergeCell ref="I125:I126"/>
    <mergeCell ref="G127:G128"/>
    <mergeCell ref="H127:H128"/>
    <mergeCell ref="I127:I128"/>
    <mergeCell ref="C130:C138"/>
    <mergeCell ref="G130:G138"/>
    <mergeCell ref="H130:H138"/>
    <mergeCell ref="I130:I138"/>
    <mergeCell ref="C142:C143"/>
    <mergeCell ref="D142:D143"/>
  </mergeCells>
  <dataValidations disablePrompts="1" count="2">
    <dataValidation type="list" allowBlank="1" showInputMessage="1" showErrorMessage="1" sqref="H61:H78">
      <formula1>$P$60:$P$78</formula1>
    </dataValidation>
    <dataValidation type="list" allowBlank="1" showInputMessage="1" showErrorMessage="1" sqref="H40:H57">
      <formula1>$P$40:$P$57</formula1>
    </dataValidation>
  </dataValidations>
  <printOptions horizontalCentered="1" verticalCentered="1"/>
  <pageMargins left="0.39370078740157483" right="0.19685039370078741" top="0.19685039370078741" bottom="0.19685039370078741" header="0" footer="0"/>
  <pageSetup paperSize="9" scale="52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B1:AE143"/>
  <sheetViews>
    <sheetView view="pageBreakPreview" topLeftCell="A118" zoomScaleNormal="115" zoomScaleSheetLayoutView="100" workbookViewId="0">
      <selection activeCell="O135" sqref="O135"/>
    </sheetView>
  </sheetViews>
  <sheetFormatPr defaultColWidth="9.140625" defaultRowHeight="15" x14ac:dyDescent="0.25"/>
  <cols>
    <col min="1" max="1" width="3.42578125" style="374" customWidth="1"/>
    <col min="2" max="2" width="7.140625" style="374" customWidth="1"/>
    <col min="3" max="3" width="12.5703125" style="374" customWidth="1"/>
    <col min="4" max="4" width="12.85546875" style="374" customWidth="1"/>
    <col min="5" max="5" width="9" style="374" customWidth="1"/>
    <col min="6" max="6" width="13.42578125" style="374" customWidth="1"/>
    <col min="7" max="7" width="13" style="374" customWidth="1"/>
    <col min="8" max="8" width="13.7109375" style="364" customWidth="1"/>
    <col min="9" max="9" width="17.42578125" style="374" customWidth="1"/>
    <col min="10" max="12" width="11.28515625" style="374" customWidth="1"/>
    <col min="13" max="13" width="11" style="374" customWidth="1"/>
    <col min="14" max="14" width="10.7109375" style="374" customWidth="1"/>
    <col min="15" max="15" width="12.7109375" style="374" bestFit="1" customWidth="1"/>
    <col min="16" max="16" width="9.7109375" style="374" bestFit="1" customWidth="1"/>
    <col min="17" max="17" width="9.28515625" style="374" bestFit="1" customWidth="1"/>
    <col min="18" max="18" width="9" style="374" bestFit="1" customWidth="1"/>
    <col min="19" max="19" width="12.28515625" style="374" bestFit="1" customWidth="1"/>
    <col min="20" max="20" width="8" style="374" bestFit="1" customWidth="1"/>
    <col min="21" max="21" width="9.5703125" style="374" customWidth="1"/>
    <col min="22" max="22" width="3.42578125" style="374" bestFit="1" customWidth="1"/>
    <col min="23" max="23" width="4.42578125" style="374" bestFit="1" customWidth="1"/>
    <col min="24" max="24" width="3.42578125" style="374" bestFit="1" customWidth="1"/>
    <col min="25" max="25" width="4.42578125" style="374" bestFit="1" customWidth="1"/>
    <col min="26" max="29" width="6.7109375" style="374" bestFit="1" customWidth="1"/>
    <col min="30" max="30" width="9.7109375" style="374" bestFit="1" customWidth="1"/>
    <col min="31" max="31" width="15.85546875" style="374" bestFit="1" customWidth="1"/>
    <col min="32" max="16384" width="9.140625" style="374"/>
  </cols>
  <sheetData>
    <row r="1" spans="3:20" s="382" customFormat="1" x14ac:dyDescent="0.25">
      <c r="C1" s="5" t="s">
        <v>61</v>
      </c>
      <c r="D1" s="203">
        <f>'01_1.35 KL'!D1</f>
        <v>44551</v>
      </c>
      <c r="E1" s="412" t="s">
        <v>320</v>
      </c>
      <c r="H1" s="383"/>
    </row>
    <row r="2" spans="3:20" ht="15" customHeight="1" x14ac:dyDescent="0.25">
      <c r="C2" s="5" t="s">
        <v>61</v>
      </c>
      <c r="D2" s="203">
        <f>'01_1.35 KL'!D2</f>
        <v>44530</v>
      </c>
      <c r="E2" s="412" t="s">
        <v>335</v>
      </c>
      <c r="F2" s="203"/>
      <c r="G2" s="203"/>
      <c r="I2" s="364"/>
      <c r="J2" s="6"/>
      <c r="K2" s="6"/>
      <c r="L2" s="7"/>
      <c r="M2" s="500" t="str">
        <f>'01_1.35 KL'!M2:M4</f>
        <v>R1</v>
      </c>
      <c r="N2" s="501" t="s">
        <v>277</v>
      </c>
    </row>
    <row r="3" spans="3:20" ht="15.75" customHeight="1" x14ac:dyDescent="0.25">
      <c r="C3" s="5" t="s">
        <v>73</v>
      </c>
      <c r="D3" s="5" t="s">
        <v>231</v>
      </c>
      <c r="E3" s="5"/>
      <c r="F3" s="8"/>
      <c r="G3" s="8"/>
      <c r="H3" s="9"/>
      <c r="I3" s="8"/>
      <c r="J3" s="8"/>
      <c r="K3" s="8"/>
      <c r="L3" s="7"/>
      <c r="M3" s="500"/>
      <c r="N3" s="502"/>
    </row>
    <row r="4" spans="3:20" ht="15.75" customHeight="1" x14ac:dyDescent="0.25">
      <c r="C4" s="5" t="s">
        <v>74</v>
      </c>
      <c r="D4" s="5" t="s">
        <v>232</v>
      </c>
      <c r="E4" s="5"/>
      <c r="F4" s="5"/>
      <c r="G4" s="5"/>
      <c r="H4" s="5"/>
      <c r="I4" s="5"/>
      <c r="J4" s="5"/>
      <c r="K4" s="9"/>
      <c r="L4" s="7"/>
      <c r="M4" s="500"/>
      <c r="N4" s="502"/>
    </row>
    <row r="5" spans="3:20" ht="15.75" customHeight="1" x14ac:dyDescent="0.25">
      <c r="C5" s="5" t="s">
        <v>91</v>
      </c>
      <c r="D5" s="206">
        <f>M11</f>
        <v>0.33929200658769765</v>
      </c>
      <c r="E5" s="6" t="s">
        <v>92</v>
      </c>
      <c r="F5" s="364"/>
      <c r="G5" s="364"/>
      <c r="I5" s="364"/>
      <c r="J5" s="454"/>
      <c r="K5" s="364"/>
      <c r="L5" s="454"/>
      <c r="M5" s="10"/>
    </row>
    <row r="6" spans="3:20" ht="15.75" customHeight="1" x14ac:dyDescent="0.25">
      <c r="C6" s="5" t="s">
        <v>93</v>
      </c>
      <c r="D6" s="5" t="s">
        <v>237</v>
      </c>
      <c r="E6" s="6"/>
      <c r="F6" s="364"/>
      <c r="G6" s="364"/>
      <c r="I6" s="364"/>
      <c r="J6" s="454"/>
      <c r="K6" s="364"/>
      <c r="L6" s="454"/>
      <c r="M6" s="10"/>
      <c r="N6" s="367"/>
      <c r="O6" s="363"/>
    </row>
    <row r="7" spans="3:20" ht="15" customHeight="1" x14ac:dyDescent="0.25">
      <c r="D7" s="178"/>
      <c r="E7" s="5"/>
      <c r="F7" s="5"/>
      <c r="G7" s="5"/>
      <c r="I7" s="364"/>
      <c r="J7" s="455"/>
      <c r="K7" s="364"/>
      <c r="L7" s="455"/>
      <c r="N7" s="7"/>
    </row>
    <row r="8" spans="3:20" x14ac:dyDescent="0.25">
      <c r="D8" s="5"/>
      <c r="J8" s="11"/>
      <c r="K8" s="12"/>
      <c r="L8" s="13"/>
      <c r="R8" s="442"/>
      <c r="S8" s="372"/>
      <c r="T8" s="442"/>
    </row>
    <row r="9" spans="3:20" x14ac:dyDescent="0.25">
      <c r="D9" s="5"/>
      <c r="J9" s="373"/>
      <c r="L9" s="375"/>
      <c r="R9" s="442"/>
      <c r="S9" s="372"/>
      <c r="T9" s="442"/>
    </row>
    <row r="10" spans="3:20" x14ac:dyDescent="0.25">
      <c r="C10" s="14" t="s">
        <v>94</v>
      </c>
      <c r="D10" s="15">
        <f>+J13/1000</f>
        <v>0.6</v>
      </c>
      <c r="E10" s="376"/>
      <c r="F10" s="468" t="s">
        <v>269</v>
      </c>
      <c r="G10" s="468"/>
      <c r="J10" s="373"/>
      <c r="L10" s="375"/>
      <c r="R10" s="442"/>
      <c r="S10" s="372"/>
      <c r="T10" s="442"/>
    </row>
    <row r="11" spans="3:20" x14ac:dyDescent="0.25">
      <c r="C11" s="14" t="s">
        <v>95</v>
      </c>
      <c r="D11" s="15">
        <f>+I13/1000</f>
        <v>1.2</v>
      </c>
      <c r="E11" s="376"/>
      <c r="F11" s="468"/>
      <c r="G11" s="468"/>
      <c r="J11" s="443"/>
      <c r="K11" s="444"/>
      <c r="L11" s="445"/>
      <c r="M11" s="16">
        <f>(PI()/4)*(DIA^2)*HT</f>
        <v>0.33929200658769765</v>
      </c>
    </row>
    <row r="12" spans="3:20" x14ac:dyDescent="0.25">
      <c r="C12" s="17" t="s">
        <v>5</v>
      </c>
      <c r="D12" s="18">
        <v>15</v>
      </c>
      <c r="E12" s="376"/>
      <c r="F12" s="468"/>
      <c r="G12" s="468"/>
      <c r="I12" s="376" t="s">
        <v>95</v>
      </c>
      <c r="J12" s="446" t="s">
        <v>94</v>
      </c>
      <c r="K12" s="447"/>
      <c r="L12" s="448"/>
    </row>
    <row r="13" spans="3:20" x14ac:dyDescent="0.25">
      <c r="C13" s="14" t="s">
        <v>96</v>
      </c>
      <c r="D13" s="19">
        <f>+HT/5</f>
        <v>0.24</v>
      </c>
      <c r="F13" s="376"/>
      <c r="G13" s="376"/>
      <c r="I13" s="20">
        <v>1200</v>
      </c>
      <c r="J13" s="449">
        <v>600</v>
      </c>
      <c r="K13" s="450"/>
      <c r="L13" s="451"/>
    </row>
    <row r="14" spans="3:20" x14ac:dyDescent="0.25">
      <c r="C14" s="14" t="s">
        <v>97</v>
      </c>
      <c r="D14" s="19">
        <f>+HT/5</f>
        <v>0.24</v>
      </c>
      <c r="E14" s="376"/>
      <c r="F14" s="376"/>
      <c r="G14" s="376"/>
      <c r="I14" s="376" t="s">
        <v>98</v>
      </c>
      <c r="J14" s="446" t="s">
        <v>98</v>
      </c>
      <c r="K14" s="447"/>
      <c r="L14" s="448"/>
    </row>
    <row r="15" spans="3:20" x14ac:dyDescent="0.25">
      <c r="C15" s="14" t="s">
        <v>99</v>
      </c>
      <c r="D15" s="19">
        <f>+HT/5</f>
        <v>0.24</v>
      </c>
      <c r="E15" s="376"/>
      <c r="F15" s="376"/>
      <c r="G15" s="376"/>
      <c r="J15" s="373"/>
      <c r="L15" s="375"/>
    </row>
    <row r="16" spans="3:20" x14ac:dyDescent="0.25">
      <c r="C16" s="14" t="s">
        <v>100</v>
      </c>
      <c r="D16" s="19">
        <f>+HT/5</f>
        <v>0.24</v>
      </c>
      <c r="E16" s="376"/>
      <c r="F16" s="376"/>
      <c r="G16" s="376"/>
      <c r="J16" s="21"/>
      <c r="K16" s="22"/>
      <c r="L16" s="23"/>
    </row>
    <row r="17" spans="2:14" x14ac:dyDescent="0.25">
      <c r="C17" s="14" t="s">
        <v>101</v>
      </c>
      <c r="D17" s="19">
        <f>+HT/5</f>
        <v>0.24</v>
      </c>
      <c r="E17" s="376"/>
      <c r="F17" s="376"/>
      <c r="G17" s="376"/>
    </row>
    <row r="18" spans="2:14" x14ac:dyDescent="0.25">
      <c r="C18" s="24" t="s">
        <v>75</v>
      </c>
      <c r="D18" s="25">
        <f>+DIA*1.2+0.1</f>
        <v>0.82</v>
      </c>
      <c r="E18" s="376"/>
      <c r="F18" s="376"/>
      <c r="G18" s="376"/>
    </row>
    <row r="19" spans="2:14" x14ac:dyDescent="0.25">
      <c r="J19" s="26"/>
      <c r="L19" s="26"/>
    </row>
    <row r="20" spans="2:14" ht="17.25" customHeight="1" x14ac:dyDescent="0.25">
      <c r="D20" s="139" t="s">
        <v>323</v>
      </c>
      <c r="J20" s="26"/>
      <c r="L20" s="26"/>
    </row>
    <row r="21" spans="2:14" s="28" customFormat="1" ht="15" customHeight="1" x14ac:dyDescent="0.25">
      <c r="D21" s="462" t="s">
        <v>0</v>
      </c>
      <c r="E21" s="463"/>
      <c r="F21" s="463"/>
      <c r="G21" s="463"/>
      <c r="H21" s="464" t="s">
        <v>1</v>
      </c>
      <c r="I21" s="466" t="s">
        <v>11</v>
      </c>
      <c r="J21" s="366">
        <f>D22</f>
        <v>0</v>
      </c>
      <c r="K21" s="29" t="s">
        <v>2</v>
      </c>
      <c r="L21" s="366" t="str">
        <f>E22</f>
        <v>BIS</v>
      </c>
      <c r="M21" s="366" t="str">
        <f>F22</f>
        <v>BIS</v>
      </c>
      <c r="N21" s="366" t="str">
        <f>G22</f>
        <v>BIS</v>
      </c>
    </row>
    <row r="22" spans="2:14" s="28" customFormat="1" ht="15" customHeight="1" x14ac:dyDescent="0.25">
      <c r="B22" s="30"/>
      <c r="C22" s="31" t="s">
        <v>102</v>
      </c>
      <c r="D22" s="366"/>
      <c r="E22" s="366" t="s">
        <v>319</v>
      </c>
      <c r="F22" s="366" t="s">
        <v>319</v>
      </c>
      <c r="G22" s="366" t="s">
        <v>319</v>
      </c>
      <c r="H22" s="465"/>
      <c r="I22" s="466"/>
      <c r="J22" s="366" t="s">
        <v>77</v>
      </c>
      <c r="K22" s="29" t="s">
        <v>77</v>
      </c>
      <c r="L22" s="366" t="s">
        <v>78</v>
      </c>
      <c r="M22" s="366" t="s">
        <v>78</v>
      </c>
      <c r="N22" s="366" t="s">
        <v>78</v>
      </c>
    </row>
    <row r="23" spans="2:14" x14ac:dyDescent="0.25">
      <c r="B23" s="32"/>
      <c r="C23" s="374">
        <v>8</v>
      </c>
      <c r="D23" s="33"/>
      <c r="E23" s="34">
        <v>3</v>
      </c>
      <c r="F23" s="35">
        <f>C23-E23-G23</f>
        <v>4</v>
      </c>
      <c r="G23" s="34">
        <v>1</v>
      </c>
      <c r="H23" s="36" t="s">
        <v>103</v>
      </c>
      <c r="I23" s="37">
        <v>1</v>
      </c>
      <c r="J23" s="38">
        <f>PI()*DIA*D13*I23</f>
        <v>0.45238934211693022</v>
      </c>
      <c r="K23" s="38">
        <f>PI()*DIA*D13</f>
        <v>0.45238934211693022</v>
      </c>
      <c r="L23" s="39">
        <f>K23*E23*I23</f>
        <v>1.3571680263507906</v>
      </c>
      <c r="M23" s="39">
        <f>K23*F23*I23</f>
        <v>1.8095573684677209</v>
      </c>
      <c r="N23" s="39">
        <f>K23*G23*I23</f>
        <v>0.45238934211693022</v>
      </c>
    </row>
    <row r="24" spans="2:14" x14ac:dyDescent="0.25">
      <c r="B24" s="32"/>
      <c r="C24" s="374">
        <v>8</v>
      </c>
      <c r="D24" s="33"/>
      <c r="E24" s="34">
        <v>3</v>
      </c>
      <c r="F24" s="35">
        <f t="shared" ref="F24:F36" si="0">C24-E24-G24</f>
        <v>4</v>
      </c>
      <c r="G24" s="34">
        <v>1</v>
      </c>
      <c r="H24" s="36" t="s">
        <v>104</v>
      </c>
      <c r="I24" s="37">
        <v>1</v>
      </c>
      <c r="J24" s="38">
        <f>PI()*DIA*B.M.S.H*I24</f>
        <v>0.45238934211693022</v>
      </c>
      <c r="K24" s="38">
        <f>PI()*DIA*B.M.S.H</f>
        <v>0.45238934211693022</v>
      </c>
      <c r="L24" s="39">
        <f t="shared" ref="L24:L30" si="1">K24*E24*I24</f>
        <v>1.3571680263507906</v>
      </c>
      <c r="M24" s="39">
        <f t="shared" ref="M24:M36" si="2">K24*F24*I24</f>
        <v>1.8095573684677209</v>
      </c>
      <c r="N24" s="39">
        <f t="shared" ref="N24:N31" si="3">K24*G24*I24</f>
        <v>0.45238934211693022</v>
      </c>
    </row>
    <row r="25" spans="2:14" x14ac:dyDescent="0.25">
      <c r="B25" s="32"/>
      <c r="C25" s="374">
        <v>8</v>
      </c>
      <c r="D25" s="33"/>
      <c r="E25" s="34">
        <v>3</v>
      </c>
      <c r="F25" s="35">
        <f t="shared" si="0"/>
        <v>4</v>
      </c>
      <c r="G25" s="34">
        <v>1</v>
      </c>
      <c r="H25" s="36" t="s">
        <v>105</v>
      </c>
      <c r="I25" s="37">
        <v>1</v>
      </c>
      <c r="J25" s="38">
        <f>PI()*DIA*M.S.H*I25</f>
        <v>0.45238934211693022</v>
      </c>
      <c r="K25" s="38">
        <f>PI()*DIA*M.S.H</f>
        <v>0.45238934211693022</v>
      </c>
      <c r="L25" s="39">
        <f t="shared" si="1"/>
        <v>1.3571680263507906</v>
      </c>
      <c r="M25" s="39">
        <f t="shared" si="2"/>
        <v>1.8095573684677209</v>
      </c>
      <c r="N25" s="39">
        <f t="shared" si="3"/>
        <v>0.45238934211693022</v>
      </c>
    </row>
    <row r="26" spans="2:14" x14ac:dyDescent="0.25">
      <c r="B26" s="32"/>
      <c r="C26" s="374">
        <v>8</v>
      </c>
      <c r="D26" s="33"/>
      <c r="E26" s="34">
        <v>3</v>
      </c>
      <c r="F26" s="35">
        <f t="shared" si="0"/>
        <v>4</v>
      </c>
      <c r="G26" s="34">
        <v>1</v>
      </c>
      <c r="H26" s="36" t="s">
        <v>106</v>
      </c>
      <c r="I26" s="37">
        <v>1</v>
      </c>
      <c r="J26" s="38">
        <f>PI()*DIA*T.M.S.H*I26</f>
        <v>0.45238934211693022</v>
      </c>
      <c r="K26" s="38">
        <f>PI()*DIA*T.M.S.H</f>
        <v>0.45238934211693022</v>
      </c>
      <c r="L26" s="39">
        <f t="shared" si="1"/>
        <v>1.3571680263507906</v>
      </c>
      <c r="M26" s="39">
        <f t="shared" si="2"/>
        <v>1.8095573684677209</v>
      </c>
      <c r="N26" s="39">
        <f t="shared" si="3"/>
        <v>0.45238934211693022</v>
      </c>
    </row>
    <row r="27" spans="2:14" x14ac:dyDescent="0.25">
      <c r="B27" s="32"/>
      <c r="C27" s="374">
        <v>8</v>
      </c>
      <c r="D27" s="33"/>
      <c r="E27" s="34">
        <v>3</v>
      </c>
      <c r="F27" s="35">
        <f t="shared" si="0"/>
        <v>4</v>
      </c>
      <c r="G27" s="34">
        <v>1</v>
      </c>
      <c r="H27" s="36" t="s">
        <v>107</v>
      </c>
      <c r="I27" s="37">
        <v>1</v>
      </c>
      <c r="J27" s="38">
        <f>PI()*DIA*T.S.H*I27</f>
        <v>0.45238934211693022</v>
      </c>
      <c r="K27" s="38">
        <f>PI()*DIA*T.S.H</f>
        <v>0.45238934211693022</v>
      </c>
      <c r="L27" s="39">
        <f t="shared" si="1"/>
        <v>1.3571680263507906</v>
      </c>
      <c r="M27" s="39">
        <f t="shared" si="2"/>
        <v>1.8095573684677209</v>
      </c>
      <c r="N27" s="39">
        <f t="shared" si="3"/>
        <v>0.45238934211693022</v>
      </c>
    </row>
    <row r="28" spans="2:14" hidden="1" x14ac:dyDescent="0.25">
      <c r="B28" s="32"/>
      <c r="C28" s="374">
        <v>8</v>
      </c>
      <c r="D28" s="33"/>
      <c r="E28" s="40">
        <v>0</v>
      </c>
      <c r="F28" s="40">
        <v>0</v>
      </c>
      <c r="G28" s="40">
        <v>0</v>
      </c>
      <c r="H28" s="41" t="s">
        <v>108</v>
      </c>
      <c r="I28" s="42">
        <v>1</v>
      </c>
      <c r="J28" s="43">
        <f>((DIA^2)/(COS(ANGLE*PI()/180)))*I28</f>
        <v>0.37269942494762986</v>
      </c>
      <c r="K28" s="43">
        <f>PI()/4*((DIA^2)/(COS(ANGLE*PI()/180)))</f>
        <v>0.29271744385315362</v>
      </c>
      <c r="L28" s="39">
        <f t="shared" si="1"/>
        <v>0</v>
      </c>
      <c r="M28" s="39">
        <f t="shared" si="2"/>
        <v>0</v>
      </c>
      <c r="N28" s="39">
        <f t="shared" si="3"/>
        <v>0</v>
      </c>
    </row>
    <row r="29" spans="2:14" x14ac:dyDescent="0.25">
      <c r="B29" s="32"/>
      <c r="C29" s="374">
        <v>8</v>
      </c>
      <c r="D29" s="33"/>
      <c r="E29" s="34">
        <v>3</v>
      </c>
      <c r="F29" s="35">
        <f t="shared" si="0"/>
        <v>4</v>
      </c>
      <c r="G29" s="34">
        <v>1</v>
      </c>
      <c r="H29" s="36" t="s">
        <v>109</v>
      </c>
      <c r="I29" s="37">
        <v>1</v>
      </c>
      <c r="J29" s="38">
        <f>(DIA^2)*I29</f>
        <v>0.36</v>
      </c>
      <c r="K29" s="38">
        <f>(PI()/4)*(DIA^2)</f>
        <v>0.28274333882308139</v>
      </c>
      <c r="L29" s="39">
        <f>K29*E29*I29</f>
        <v>0.84823001646924423</v>
      </c>
      <c r="M29" s="39">
        <f t="shared" si="2"/>
        <v>1.1309733552923256</v>
      </c>
      <c r="N29" s="39">
        <f t="shared" si="3"/>
        <v>0.28274333882308139</v>
      </c>
    </row>
    <row r="30" spans="2:14" x14ac:dyDescent="0.25">
      <c r="B30" s="32"/>
      <c r="C30" s="374">
        <v>15</v>
      </c>
      <c r="D30" s="33"/>
      <c r="E30" s="34">
        <v>3</v>
      </c>
      <c r="F30" s="35">
        <f t="shared" si="0"/>
        <v>11</v>
      </c>
      <c r="G30" s="34">
        <v>1</v>
      </c>
      <c r="H30" s="36" t="s">
        <v>110</v>
      </c>
      <c r="I30" s="37">
        <v>1</v>
      </c>
      <c r="J30" s="44">
        <f>((DIA+0.2)^2)*I30</f>
        <v>0.64000000000000012</v>
      </c>
      <c r="K30" s="44">
        <f>((PI()/4)*((DIA+0.2)^2-DIA^2))</f>
        <v>0.21991148575128563</v>
      </c>
      <c r="L30" s="39">
        <f t="shared" si="1"/>
        <v>0.65973445725385693</v>
      </c>
      <c r="M30" s="39">
        <f t="shared" si="2"/>
        <v>2.4190263432641421</v>
      </c>
      <c r="N30" s="39">
        <f t="shared" si="3"/>
        <v>0.21991148575128563</v>
      </c>
    </row>
    <row r="31" spans="2:14" x14ac:dyDescent="0.25">
      <c r="B31" s="32"/>
      <c r="C31" s="374">
        <v>15</v>
      </c>
      <c r="D31" s="33"/>
      <c r="E31" s="34">
        <v>3</v>
      </c>
      <c r="F31" s="35">
        <f t="shared" si="0"/>
        <v>11</v>
      </c>
      <c r="G31" s="34">
        <v>1</v>
      </c>
      <c r="H31" s="36" t="s">
        <v>76</v>
      </c>
      <c r="I31" s="37">
        <v>1</v>
      </c>
      <c r="J31" s="44">
        <f>((DIA+0.2)^2)*I31</f>
        <v>0.64000000000000012</v>
      </c>
      <c r="K31" s="44">
        <f>((PI()/4)*((DIA+0.2)^2))</f>
        <v>0.50265482457436694</v>
      </c>
      <c r="L31" s="39">
        <f>K31*E31*I31</f>
        <v>1.5079644737231008</v>
      </c>
      <c r="M31" s="39">
        <f t="shared" si="2"/>
        <v>5.5292030703180366</v>
      </c>
      <c r="N31" s="39">
        <f t="shared" si="3"/>
        <v>0.50265482457436694</v>
      </c>
    </row>
    <row r="32" spans="2:14" x14ac:dyDescent="0.25">
      <c r="B32" s="45"/>
      <c r="C32" s="374">
        <f>CEILING((C31+C23)*0.5,1)</f>
        <v>12</v>
      </c>
      <c r="D32" s="46"/>
      <c r="E32" s="46"/>
      <c r="F32" s="35">
        <f t="shared" si="0"/>
        <v>12</v>
      </c>
      <c r="G32" s="46"/>
      <c r="H32" s="36" t="s">
        <v>111</v>
      </c>
      <c r="I32" s="37">
        <v>1</v>
      </c>
      <c r="J32" s="46"/>
      <c r="K32" s="38">
        <f>PI()*DIA*(2*2*SQRT(DIA*((C32)/1000/2)))</f>
        <v>0.45238934211693022</v>
      </c>
      <c r="L32" s="46"/>
      <c r="M32" s="39">
        <f t="shared" si="2"/>
        <v>5.4286721054031624</v>
      </c>
      <c r="N32" s="46"/>
    </row>
    <row r="33" spans="2:31" x14ac:dyDescent="0.25">
      <c r="B33" s="45"/>
      <c r="C33" s="374">
        <f>CEILING((C31+C27)*0.5,1)</f>
        <v>12</v>
      </c>
      <c r="D33" s="46"/>
      <c r="E33" s="46"/>
      <c r="F33" s="35">
        <f t="shared" si="0"/>
        <v>12</v>
      </c>
      <c r="G33" s="46"/>
      <c r="H33" s="36" t="s">
        <v>112</v>
      </c>
      <c r="I33" s="37">
        <v>1</v>
      </c>
      <c r="J33" s="46"/>
      <c r="K33" s="38">
        <f>PI()*DIA*(2*2*SQRT(DIA*((C33)/1000/2)))</f>
        <v>0.45238934211693022</v>
      </c>
      <c r="L33" s="46"/>
      <c r="M33" s="39">
        <f t="shared" si="2"/>
        <v>5.4286721054031624</v>
      </c>
      <c r="N33" s="46"/>
    </row>
    <row r="34" spans="2:31" hidden="1" x14ac:dyDescent="0.25">
      <c r="B34" s="45"/>
      <c r="C34" s="40">
        <v>0</v>
      </c>
      <c r="D34" s="47"/>
      <c r="E34" s="47"/>
      <c r="F34" s="42">
        <f t="shared" si="0"/>
        <v>0</v>
      </c>
      <c r="G34" s="47"/>
      <c r="H34" s="41" t="s">
        <v>113</v>
      </c>
      <c r="I34" s="42">
        <v>1</v>
      </c>
      <c r="J34" s="47"/>
      <c r="K34" s="48">
        <f>PI()*DIA*0.45</f>
        <v>0.84823001646924412</v>
      </c>
      <c r="L34" s="47"/>
      <c r="M34" s="39">
        <f t="shared" si="2"/>
        <v>0</v>
      </c>
      <c r="N34" s="46"/>
    </row>
    <row r="35" spans="2:31" hidden="1" x14ac:dyDescent="0.25">
      <c r="B35" s="16"/>
      <c r="C35" s="374">
        <v>0</v>
      </c>
      <c r="D35" s="46"/>
      <c r="E35" s="46"/>
      <c r="F35" s="35">
        <f t="shared" si="0"/>
        <v>0</v>
      </c>
      <c r="G35" s="46"/>
      <c r="H35" s="36" t="s">
        <v>114</v>
      </c>
      <c r="I35" s="37">
        <v>0</v>
      </c>
      <c r="J35" s="46"/>
      <c r="K35" s="38">
        <f>(DIA)/(COS(ANGLE*PI()/180))*((50+75+75+75+50)/1000)</f>
        <v>0.20187885517996618</v>
      </c>
      <c r="L35" s="46"/>
      <c r="M35" s="39">
        <f t="shared" si="2"/>
        <v>0</v>
      </c>
      <c r="N35" s="46"/>
    </row>
    <row r="36" spans="2:31" hidden="1" x14ac:dyDescent="0.25">
      <c r="B36" s="16"/>
      <c r="C36" s="49">
        <v>0</v>
      </c>
      <c r="D36" s="46"/>
      <c r="E36" s="46"/>
      <c r="F36" s="50">
        <f t="shared" si="0"/>
        <v>0</v>
      </c>
      <c r="G36" s="46"/>
      <c r="H36" s="51" t="s">
        <v>115</v>
      </c>
      <c r="I36" s="50">
        <v>0</v>
      </c>
      <c r="J36" s="46"/>
      <c r="K36" s="52">
        <f>PI()*DIA*0.4</f>
        <v>0.75398223686155041</v>
      </c>
      <c r="L36" s="46"/>
      <c r="M36" s="39">
        <f t="shared" si="2"/>
        <v>0</v>
      </c>
      <c r="N36" s="46"/>
    </row>
    <row r="37" spans="2:31" x14ac:dyDescent="0.25">
      <c r="C37" s="53"/>
      <c r="P37" s="54"/>
      <c r="Q37" s="54"/>
      <c r="R37" s="54"/>
      <c r="S37" s="54"/>
      <c r="T37" s="54"/>
      <c r="U37" s="54"/>
      <c r="V37" s="439" t="s">
        <v>52</v>
      </c>
      <c r="W37" s="440"/>
      <c r="X37" s="439" t="s">
        <v>53</v>
      </c>
      <c r="Y37" s="440"/>
      <c r="Z37" s="439" t="s">
        <v>54</v>
      </c>
      <c r="AA37" s="440"/>
      <c r="AB37" s="439" t="s">
        <v>55</v>
      </c>
      <c r="AC37" s="440"/>
      <c r="AD37" s="439" t="s">
        <v>57</v>
      </c>
      <c r="AE37" s="440"/>
    </row>
    <row r="38" spans="2:31" hidden="1" x14ac:dyDescent="0.25">
      <c r="P38" s="54"/>
      <c r="Q38" s="54" t="s">
        <v>7</v>
      </c>
      <c r="R38" s="54" t="s">
        <v>6</v>
      </c>
      <c r="S38" s="54" t="s">
        <v>9</v>
      </c>
      <c r="T38" s="54" t="s">
        <v>10</v>
      </c>
      <c r="U38" s="54" t="s">
        <v>8</v>
      </c>
      <c r="V38" s="54" t="s">
        <v>4</v>
      </c>
      <c r="W38" s="54" t="s">
        <v>3</v>
      </c>
      <c r="X38" s="54" t="s">
        <v>4</v>
      </c>
      <c r="Y38" s="54" t="s">
        <v>3</v>
      </c>
      <c r="Z38" s="54" t="s">
        <v>56</v>
      </c>
      <c r="AA38" s="54" t="s">
        <v>3</v>
      </c>
      <c r="AB38" s="54" t="s">
        <v>4</v>
      </c>
      <c r="AC38" s="54" t="s">
        <v>3</v>
      </c>
      <c r="AD38" s="54" t="s">
        <v>59</v>
      </c>
      <c r="AE38" s="54" t="s">
        <v>58</v>
      </c>
    </row>
    <row r="39" spans="2:31" hidden="1" x14ac:dyDescent="0.25">
      <c r="P39" s="54" t="s">
        <v>29</v>
      </c>
      <c r="Q39" s="54" t="s">
        <v>29</v>
      </c>
      <c r="R39" s="54">
        <v>0</v>
      </c>
      <c r="S39" s="54">
        <v>0</v>
      </c>
      <c r="T39" s="54">
        <v>0</v>
      </c>
      <c r="U39" s="55">
        <f t="shared" ref="U39:U57" si="4">((PI()/4)*(T39^2-R39^2))+(PI()*R39*S39)</f>
        <v>0</v>
      </c>
      <c r="V39" s="54">
        <v>5</v>
      </c>
      <c r="W39" s="54">
        <v>12</v>
      </c>
      <c r="X39" s="54">
        <v>5</v>
      </c>
      <c r="Y39" s="54">
        <v>5</v>
      </c>
      <c r="Z39" s="55">
        <f t="shared" ref="Z39:Z57" si="5">(T39^2)*CEILING(V39/4,1)</f>
        <v>0</v>
      </c>
      <c r="AA39" s="55">
        <f t="shared" ref="AA39:AA57" si="6">((PI()/4)*(T39^2-R39^2))*W39</f>
        <v>0</v>
      </c>
      <c r="AB39" s="55">
        <f t="shared" ref="AB39:AB57" si="7">+(PI()*R39*S39)*CEILING(X39/3,1)</f>
        <v>0</v>
      </c>
      <c r="AC39" s="55">
        <f t="shared" ref="AC39:AC57" si="8">+(PI()*R39*S39)*Y39</f>
        <v>0</v>
      </c>
      <c r="AD39" s="55">
        <f t="shared" ref="AD39:AE57" si="9">+Z39+AB39</f>
        <v>0</v>
      </c>
      <c r="AE39" s="55">
        <f t="shared" si="9"/>
        <v>0</v>
      </c>
    </row>
    <row r="40" spans="2:31" x14ac:dyDescent="0.25">
      <c r="D40" s="46"/>
      <c r="E40" s="46"/>
      <c r="F40" s="46"/>
      <c r="G40" s="46"/>
      <c r="H40" s="56" t="s">
        <v>24</v>
      </c>
      <c r="I40" s="37">
        <v>4</v>
      </c>
      <c r="J40" s="38">
        <f t="shared" ref="J40:J57" si="10">LOOKUP(H40,NOZZLE1,PP_AREA)*I40</f>
        <v>0.27982844737231005</v>
      </c>
      <c r="K40" s="39"/>
      <c r="L40" s="216">
        <v>1.39</v>
      </c>
      <c r="M40" s="179">
        <f>L40*I40</f>
        <v>5.56</v>
      </c>
      <c r="P40" s="54" t="s">
        <v>22</v>
      </c>
      <c r="Q40" s="54" t="s">
        <v>22</v>
      </c>
      <c r="R40" s="54">
        <v>1.4999999999999999E-2</v>
      </c>
      <c r="S40" s="54">
        <v>0.15</v>
      </c>
      <c r="T40" s="54">
        <v>8.8999999999999996E-2</v>
      </c>
      <c r="U40" s="55">
        <f t="shared" si="4"/>
        <v>1.3113007736083794E-2</v>
      </c>
      <c r="V40" s="54">
        <v>5</v>
      </c>
      <c r="W40" s="54">
        <v>12</v>
      </c>
      <c r="X40" s="54">
        <v>5</v>
      </c>
      <c r="Y40" s="54">
        <v>5</v>
      </c>
      <c r="Z40" s="55">
        <f t="shared" si="5"/>
        <v>1.5841999999999998E-2</v>
      </c>
      <c r="AA40" s="55">
        <f t="shared" si="6"/>
        <v>7.2533091186081131E-2</v>
      </c>
      <c r="AB40" s="55">
        <f t="shared" si="7"/>
        <v>1.4137166941154067E-2</v>
      </c>
      <c r="AC40" s="55">
        <f t="shared" si="8"/>
        <v>3.5342917352885167E-2</v>
      </c>
      <c r="AD40" s="55">
        <f t="shared" si="9"/>
        <v>2.9979166941154066E-2</v>
      </c>
      <c r="AE40" s="55">
        <f t="shared" si="9"/>
        <v>0.1078760085389663</v>
      </c>
    </row>
    <row r="41" spans="2:31" x14ac:dyDescent="0.25">
      <c r="D41" s="46"/>
      <c r="E41" s="46"/>
      <c r="F41" s="46"/>
      <c r="G41" s="46"/>
      <c r="H41" s="56" t="s">
        <v>25</v>
      </c>
      <c r="I41" s="37">
        <v>2</v>
      </c>
      <c r="J41" s="38">
        <f t="shared" si="10"/>
        <v>0.18666377960769379</v>
      </c>
      <c r="K41" s="39"/>
      <c r="L41" s="216">
        <v>1.7</v>
      </c>
      <c r="M41" s="179">
        <f>L41*I41</f>
        <v>3.4</v>
      </c>
      <c r="P41" s="54" t="s">
        <v>23</v>
      </c>
      <c r="Q41" s="54" t="s">
        <v>23</v>
      </c>
      <c r="R41" s="54">
        <v>0.02</v>
      </c>
      <c r="S41" s="54">
        <v>0.15</v>
      </c>
      <c r="T41" s="54">
        <v>9.8000000000000004E-2</v>
      </c>
      <c r="U41" s="55">
        <f t="shared" si="4"/>
        <v>1.6653582656679496E-2</v>
      </c>
      <c r="V41" s="54">
        <v>5</v>
      </c>
      <c r="W41" s="54">
        <v>12</v>
      </c>
      <c r="X41" s="54">
        <v>5</v>
      </c>
      <c r="Y41" s="54">
        <v>5</v>
      </c>
      <c r="Z41" s="55">
        <f t="shared" si="5"/>
        <v>1.9208000000000003E-2</v>
      </c>
      <c r="AA41" s="55">
        <f t="shared" si="6"/>
        <v>8.674565635092138E-2</v>
      </c>
      <c r="AB41" s="55">
        <f t="shared" si="7"/>
        <v>1.8849555921538759E-2</v>
      </c>
      <c r="AC41" s="55">
        <f t="shared" si="8"/>
        <v>4.7123889803846894E-2</v>
      </c>
      <c r="AD41" s="55">
        <f t="shared" si="9"/>
        <v>3.8057555921538762E-2</v>
      </c>
      <c r="AE41" s="55">
        <f t="shared" si="9"/>
        <v>0.13386954615476826</v>
      </c>
    </row>
    <row r="42" spans="2:31" x14ac:dyDescent="0.25">
      <c r="D42" s="46"/>
      <c r="E42" s="46"/>
      <c r="F42" s="46"/>
      <c r="G42" s="46"/>
      <c r="H42" s="56" t="s">
        <v>13</v>
      </c>
      <c r="I42" s="37">
        <v>3</v>
      </c>
      <c r="J42" s="38">
        <f t="shared" si="10"/>
        <v>0.8911610082346223</v>
      </c>
      <c r="K42" s="39"/>
      <c r="L42" s="216">
        <v>2.71</v>
      </c>
      <c r="M42" s="179">
        <f t="shared" ref="M42:M44" si="11">L42*I42</f>
        <v>8.129999999999999</v>
      </c>
      <c r="P42" s="54" t="s">
        <v>28</v>
      </c>
      <c r="Q42" s="54" t="s">
        <v>28</v>
      </c>
      <c r="R42" s="54">
        <v>2.5000000000000001E-2</v>
      </c>
      <c r="S42" s="54">
        <v>0.15</v>
      </c>
      <c r="T42" s="54">
        <v>0.108</v>
      </c>
      <c r="U42" s="55">
        <f t="shared" si="4"/>
        <v>2.0450982776706154E-2</v>
      </c>
      <c r="V42" s="54">
        <v>5</v>
      </c>
      <c r="W42" s="54">
        <v>12</v>
      </c>
      <c r="X42" s="54">
        <v>5</v>
      </c>
      <c r="Y42" s="54">
        <v>5</v>
      </c>
      <c r="Z42" s="55">
        <f t="shared" si="5"/>
        <v>2.3327999999999998E-2</v>
      </c>
      <c r="AA42" s="55">
        <f t="shared" si="6"/>
        <v>0.10404012390893316</v>
      </c>
      <c r="AB42" s="55">
        <f t="shared" si="7"/>
        <v>2.3561944901923447E-2</v>
      </c>
      <c r="AC42" s="55">
        <f t="shared" si="8"/>
        <v>5.8904862254808621E-2</v>
      </c>
      <c r="AD42" s="55">
        <f t="shared" si="9"/>
        <v>4.6889944901923442E-2</v>
      </c>
      <c r="AE42" s="55">
        <f t="shared" si="9"/>
        <v>0.16294498616374178</v>
      </c>
    </row>
    <row r="43" spans="2:31" hidden="1" x14ac:dyDescent="0.25">
      <c r="D43" s="46"/>
      <c r="E43" s="46"/>
      <c r="F43" s="46"/>
      <c r="G43" s="46"/>
      <c r="H43" s="56" t="s">
        <v>30</v>
      </c>
      <c r="I43" s="37">
        <v>0</v>
      </c>
      <c r="J43" s="38">
        <f t="shared" si="10"/>
        <v>0</v>
      </c>
      <c r="K43" s="39"/>
      <c r="L43" s="57">
        <v>1.55</v>
      </c>
      <c r="M43" s="374">
        <f t="shared" si="11"/>
        <v>0</v>
      </c>
      <c r="P43" s="54" t="s">
        <v>24</v>
      </c>
      <c r="Q43" s="54" t="s">
        <v>24</v>
      </c>
      <c r="R43" s="54">
        <v>0.04</v>
      </c>
      <c r="S43" s="54">
        <v>0.15</v>
      </c>
      <c r="T43" s="54">
        <v>0.127</v>
      </c>
      <c r="U43" s="55">
        <f t="shared" si="4"/>
        <v>3.0260605837540283E-2</v>
      </c>
      <c r="V43" s="54">
        <v>5</v>
      </c>
      <c r="W43" s="54">
        <v>15</v>
      </c>
      <c r="X43" s="54">
        <v>5</v>
      </c>
      <c r="Y43" s="54">
        <v>6</v>
      </c>
      <c r="Z43" s="55">
        <f t="shared" si="5"/>
        <v>3.2258000000000002E-2</v>
      </c>
      <c r="AA43" s="55">
        <f t="shared" si="6"/>
        <v>0.17116574874002288</v>
      </c>
      <c r="AB43" s="55">
        <f t="shared" si="7"/>
        <v>3.7699111843077518E-2</v>
      </c>
      <c r="AC43" s="55">
        <f t="shared" si="8"/>
        <v>0.11309733552923255</v>
      </c>
      <c r="AD43" s="55">
        <f t="shared" si="9"/>
        <v>6.9957111843077513E-2</v>
      </c>
      <c r="AE43" s="55">
        <f t="shared" si="9"/>
        <v>0.28426308426925545</v>
      </c>
    </row>
    <row r="44" spans="2:31" ht="18.75" hidden="1" customHeight="1" x14ac:dyDescent="0.25">
      <c r="D44" s="46"/>
      <c r="E44" s="46"/>
      <c r="F44" s="46"/>
      <c r="G44" s="46"/>
      <c r="H44" s="56" t="s">
        <v>19</v>
      </c>
      <c r="I44" s="37">
        <v>0</v>
      </c>
      <c r="J44" s="38">
        <f t="shared" si="10"/>
        <v>0</v>
      </c>
      <c r="K44" s="39"/>
      <c r="L44" s="57">
        <v>7.34</v>
      </c>
      <c r="M44" s="374">
        <f t="shared" si="11"/>
        <v>0</v>
      </c>
      <c r="P44" s="54" t="s">
        <v>25</v>
      </c>
      <c r="Q44" s="54" t="s">
        <v>25</v>
      </c>
      <c r="R44" s="54">
        <v>0.05</v>
      </c>
      <c r="S44" s="54">
        <v>0.15</v>
      </c>
      <c r="T44" s="54">
        <v>0.152</v>
      </c>
      <c r="U44" s="55">
        <f t="shared" si="4"/>
        <v>3.9744288660564467E-2</v>
      </c>
      <c r="V44" s="54">
        <v>5</v>
      </c>
      <c r="W44" s="54">
        <v>15</v>
      </c>
      <c r="X44" s="54">
        <v>5</v>
      </c>
      <c r="Y44" s="54">
        <v>6</v>
      </c>
      <c r="Z44" s="55">
        <f t="shared" si="5"/>
        <v>4.6207999999999999E-2</v>
      </c>
      <c r="AA44" s="55">
        <f t="shared" si="6"/>
        <v>0.24273515637961535</v>
      </c>
      <c r="AB44" s="55">
        <f t="shared" si="7"/>
        <v>4.7123889803846894E-2</v>
      </c>
      <c r="AC44" s="55">
        <f t="shared" si="8"/>
        <v>0.14137166941154067</v>
      </c>
      <c r="AD44" s="55">
        <f t="shared" si="9"/>
        <v>9.3331889803846893E-2</v>
      </c>
      <c r="AE44" s="55">
        <f t="shared" si="9"/>
        <v>0.38410682579115601</v>
      </c>
    </row>
    <row r="45" spans="2:31" hidden="1" x14ac:dyDescent="0.25">
      <c r="D45" s="46"/>
      <c r="E45" s="46"/>
      <c r="F45" s="46"/>
      <c r="G45" s="46"/>
      <c r="H45" s="56" t="s">
        <v>20</v>
      </c>
      <c r="I45" s="37">
        <v>0</v>
      </c>
      <c r="J45" s="38">
        <f t="shared" si="10"/>
        <v>0</v>
      </c>
      <c r="K45" s="39"/>
      <c r="L45" s="58"/>
      <c r="M45" s="374" t="s">
        <v>116</v>
      </c>
      <c r="P45" s="54" t="s">
        <v>26</v>
      </c>
      <c r="Q45" s="54" t="s">
        <v>26</v>
      </c>
      <c r="R45" s="54">
        <v>6.5000000000000002E-2</v>
      </c>
      <c r="S45" s="54">
        <v>0.15</v>
      </c>
      <c r="T45" s="54">
        <v>0.17799999999999999</v>
      </c>
      <c r="U45" s="55">
        <f t="shared" si="4"/>
        <v>5.2196776541231012E-2</v>
      </c>
      <c r="V45" s="54">
        <v>5</v>
      </c>
      <c r="W45" s="54">
        <v>18</v>
      </c>
      <c r="X45" s="54">
        <v>5</v>
      </c>
      <c r="Y45" s="54">
        <v>6</v>
      </c>
      <c r="Z45" s="55">
        <f t="shared" si="5"/>
        <v>6.3367999999999994E-2</v>
      </c>
      <c r="AA45" s="55">
        <f t="shared" si="6"/>
        <v>0.38819246703714955</v>
      </c>
      <c r="AB45" s="55">
        <f t="shared" si="7"/>
        <v>6.1261056745000965E-2</v>
      </c>
      <c r="AC45" s="55">
        <f t="shared" si="8"/>
        <v>0.1837831702350029</v>
      </c>
      <c r="AD45" s="55">
        <f t="shared" si="9"/>
        <v>0.12462905674500097</v>
      </c>
      <c r="AE45" s="55">
        <f t="shared" si="9"/>
        <v>0.5719756372721525</v>
      </c>
    </row>
    <row r="46" spans="2:31" hidden="1" x14ac:dyDescent="0.25">
      <c r="D46" s="46"/>
      <c r="E46" s="46"/>
      <c r="F46" s="46"/>
      <c r="G46" s="46"/>
      <c r="H46" s="56" t="s">
        <v>21</v>
      </c>
      <c r="I46" s="37">
        <v>0</v>
      </c>
      <c r="J46" s="38">
        <f t="shared" si="10"/>
        <v>0</v>
      </c>
      <c r="K46" s="39"/>
      <c r="L46" s="58"/>
      <c r="P46" s="54" t="s">
        <v>27</v>
      </c>
      <c r="Q46" s="54" t="s">
        <v>27</v>
      </c>
      <c r="R46" s="54">
        <v>0.08</v>
      </c>
      <c r="S46" s="54">
        <v>0.15</v>
      </c>
      <c r="T46" s="54">
        <v>0.191</v>
      </c>
      <c r="U46" s="55">
        <f t="shared" si="4"/>
        <v>6.1324673996236159E-2</v>
      </c>
      <c r="V46" s="54">
        <v>5</v>
      </c>
      <c r="W46" s="54">
        <v>18</v>
      </c>
      <c r="X46" s="54">
        <v>5</v>
      </c>
      <c r="Y46" s="54">
        <v>7</v>
      </c>
      <c r="Z46" s="55">
        <f t="shared" si="5"/>
        <v>7.2961999999999999E-2</v>
      </c>
      <c r="AA46" s="55">
        <f t="shared" si="6"/>
        <v>0.42526011875685554</v>
      </c>
      <c r="AB46" s="55">
        <f t="shared" si="7"/>
        <v>7.5398223686155036E-2</v>
      </c>
      <c r="AC46" s="55">
        <f t="shared" si="8"/>
        <v>0.26389378290154264</v>
      </c>
      <c r="AD46" s="55">
        <f t="shared" si="9"/>
        <v>0.14836022368615503</v>
      </c>
      <c r="AE46" s="55">
        <f t="shared" si="9"/>
        <v>0.68915390165839818</v>
      </c>
    </row>
    <row r="47" spans="2:31" hidden="1" x14ac:dyDescent="0.25">
      <c r="D47" s="46"/>
      <c r="E47" s="46"/>
      <c r="F47" s="46"/>
      <c r="G47" s="46"/>
      <c r="H47" s="56" t="s">
        <v>21</v>
      </c>
      <c r="I47" s="37">
        <v>0</v>
      </c>
      <c r="J47" s="38">
        <f t="shared" si="10"/>
        <v>0</v>
      </c>
      <c r="K47" s="39"/>
      <c r="L47" s="58"/>
      <c r="P47" s="54" t="s">
        <v>30</v>
      </c>
      <c r="Q47" s="54" t="s">
        <v>30</v>
      </c>
      <c r="R47" s="54">
        <v>0.1</v>
      </c>
      <c r="S47" s="54">
        <v>0.15</v>
      </c>
      <c r="T47" s="54">
        <v>0.22900000000000001</v>
      </c>
      <c r="U47" s="55">
        <f t="shared" si="4"/>
        <v>8.0456973256597994E-2</v>
      </c>
      <c r="V47" s="54">
        <v>5</v>
      </c>
      <c r="W47" s="54">
        <v>20</v>
      </c>
      <c r="X47" s="54">
        <v>5</v>
      </c>
      <c r="Y47" s="54">
        <v>7</v>
      </c>
      <c r="Z47" s="55">
        <f t="shared" si="5"/>
        <v>0.104882</v>
      </c>
      <c r="AA47" s="55">
        <f t="shared" si="6"/>
        <v>0.666661669055022</v>
      </c>
      <c r="AB47" s="55">
        <f t="shared" si="7"/>
        <v>9.4247779607693788E-2</v>
      </c>
      <c r="AC47" s="55">
        <f t="shared" si="8"/>
        <v>0.32986722862692824</v>
      </c>
      <c r="AD47" s="55">
        <f t="shared" si="9"/>
        <v>0.19912977960769379</v>
      </c>
      <c r="AE47" s="55">
        <f t="shared" si="9"/>
        <v>0.99652889768195019</v>
      </c>
    </row>
    <row r="48" spans="2:31" hidden="1" x14ac:dyDescent="0.25">
      <c r="D48" s="46"/>
      <c r="E48" s="46"/>
      <c r="F48" s="46"/>
      <c r="G48" s="46"/>
      <c r="H48" s="56" t="s">
        <v>18</v>
      </c>
      <c r="I48" s="37">
        <v>0</v>
      </c>
      <c r="J48" s="38">
        <f t="shared" si="10"/>
        <v>0</v>
      </c>
      <c r="K48" s="39"/>
      <c r="L48" s="58"/>
      <c r="P48" s="54" t="s">
        <v>12</v>
      </c>
      <c r="Q48" s="54" t="s">
        <v>12</v>
      </c>
      <c r="R48" s="54">
        <v>0.125</v>
      </c>
      <c r="S48" s="54">
        <v>0.15</v>
      </c>
      <c r="T48" s="54">
        <v>0.254</v>
      </c>
      <c r="U48" s="55">
        <f t="shared" si="4"/>
        <v>9.7303763861473269E-2</v>
      </c>
      <c r="V48" s="54">
        <v>5</v>
      </c>
      <c r="W48" s="54">
        <v>20</v>
      </c>
      <c r="X48" s="54">
        <v>5</v>
      </c>
      <c r="Y48" s="54">
        <v>7</v>
      </c>
      <c r="Z48" s="55">
        <f t="shared" si="5"/>
        <v>0.12903200000000001</v>
      </c>
      <c r="AA48" s="55">
        <f t="shared" si="6"/>
        <v>0.76797803213329296</v>
      </c>
      <c r="AB48" s="55">
        <f t="shared" si="7"/>
        <v>0.11780972450961724</v>
      </c>
      <c r="AC48" s="55">
        <f t="shared" si="8"/>
        <v>0.41233403578366035</v>
      </c>
      <c r="AD48" s="55">
        <f t="shared" si="9"/>
        <v>0.24684172450961725</v>
      </c>
      <c r="AE48" s="55">
        <f t="shared" si="9"/>
        <v>1.1803120679169532</v>
      </c>
    </row>
    <row r="49" spans="4:31" hidden="1" x14ac:dyDescent="0.25">
      <c r="D49" s="46"/>
      <c r="E49" s="46"/>
      <c r="F49" s="46"/>
      <c r="G49" s="46"/>
      <c r="H49" s="56" t="s">
        <v>21</v>
      </c>
      <c r="I49" s="37">
        <v>0</v>
      </c>
      <c r="J49" s="38">
        <f t="shared" si="10"/>
        <v>0</v>
      </c>
      <c r="K49" s="39"/>
      <c r="L49" s="58"/>
      <c r="P49" s="54" t="s">
        <v>13</v>
      </c>
      <c r="Q49" s="54" t="s">
        <v>13</v>
      </c>
      <c r="R49" s="54">
        <v>0.15</v>
      </c>
      <c r="S49" s="54">
        <v>0.15</v>
      </c>
      <c r="T49" s="54">
        <v>0.27900000000000003</v>
      </c>
      <c r="U49" s="55">
        <f t="shared" si="4"/>
        <v>0.11415055446634856</v>
      </c>
      <c r="V49" s="54">
        <v>5</v>
      </c>
      <c r="W49" s="54">
        <v>20</v>
      </c>
      <c r="X49" s="54">
        <v>5</v>
      </c>
      <c r="Y49" s="54">
        <v>8</v>
      </c>
      <c r="Z49" s="55">
        <f t="shared" si="5"/>
        <v>0.15568200000000004</v>
      </c>
      <c r="AA49" s="55">
        <f t="shared" si="6"/>
        <v>0.86929439521156404</v>
      </c>
      <c r="AB49" s="55">
        <f t="shared" si="7"/>
        <v>0.1413716694115407</v>
      </c>
      <c r="AC49" s="55">
        <f t="shared" si="8"/>
        <v>0.56548667764616278</v>
      </c>
      <c r="AD49" s="55">
        <f t="shared" si="9"/>
        <v>0.29705366941154077</v>
      </c>
      <c r="AE49" s="55">
        <f t="shared" si="9"/>
        <v>1.4347810728577268</v>
      </c>
    </row>
    <row r="50" spans="4:31" hidden="1" x14ac:dyDescent="0.25">
      <c r="D50" s="46"/>
      <c r="E50" s="46"/>
      <c r="F50" s="46"/>
      <c r="G50" s="46"/>
      <c r="H50" s="56" t="s">
        <v>21</v>
      </c>
      <c r="I50" s="37">
        <v>0</v>
      </c>
      <c r="J50" s="38">
        <f t="shared" si="10"/>
        <v>0</v>
      </c>
      <c r="K50" s="39"/>
      <c r="L50" s="58"/>
      <c r="P50" s="54" t="s">
        <v>14</v>
      </c>
      <c r="Q50" s="54" t="s">
        <v>14</v>
      </c>
      <c r="R50" s="54">
        <v>0.2</v>
      </c>
      <c r="S50" s="54">
        <v>0.15</v>
      </c>
      <c r="T50" s="54">
        <v>0.33</v>
      </c>
      <c r="U50" s="55">
        <f t="shared" si="4"/>
        <v>0.14836171306577797</v>
      </c>
      <c r="V50" s="54">
        <v>5</v>
      </c>
      <c r="W50" s="54">
        <v>22</v>
      </c>
      <c r="X50" s="54">
        <v>5</v>
      </c>
      <c r="Y50" s="54">
        <v>8</v>
      </c>
      <c r="Z50" s="55">
        <f t="shared" si="5"/>
        <v>0.21780000000000002</v>
      </c>
      <c r="AA50" s="55">
        <f t="shared" si="6"/>
        <v>1.1905065360778522</v>
      </c>
      <c r="AB50" s="55">
        <f t="shared" si="7"/>
        <v>0.18849555921538758</v>
      </c>
      <c r="AC50" s="55">
        <f t="shared" si="8"/>
        <v>0.7539822368615503</v>
      </c>
      <c r="AD50" s="55">
        <f t="shared" si="9"/>
        <v>0.40629555921538762</v>
      </c>
      <c r="AE50" s="55">
        <f t="shared" si="9"/>
        <v>1.9444887729394025</v>
      </c>
    </row>
    <row r="51" spans="4:31" hidden="1" x14ac:dyDescent="0.25">
      <c r="D51" s="46"/>
      <c r="E51" s="46"/>
      <c r="F51" s="46"/>
      <c r="G51" s="46"/>
      <c r="H51" s="56" t="s">
        <v>15</v>
      </c>
      <c r="I51" s="37">
        <v>0</v>
      </c>
      <c r="J51" s="38">
        <f t="shared" si="10"/>
        <v>0</v>
      </c>
      <c r="K51" s="39"/>
      <c r="L51" s="58"/>
      <c r="P51" s="54" t="s">
        <v>15</v>
      </c>
      <c r="Q51" s="54" t="s">
        <v>15</v>
      </c>
      <c r="R51" s="54">
        <v>0.25</v>
      </c>
      <c r="S51" s="54">
        <v>0.15</v>
      </c>
      <c r="T51" s="54">
        <v>0.38</v>
      </c>
      <c r="U51" s="55">
        <f t="shared" si="4"/>
        <v>0.18213383409186826</v>
      </c>
      <c r="V51" s="54">
        <v>5</v>
      </c>
      <c r="W51" s="54">
        <v>22</v>
      </c>
      <c r="X51" s="54">
        <v>5</v>
      </c>
      <c r="Y51" s="54">
        <v>8</v>
      </c>
      <c r="Z51" s="55">
        <f t="shared" si="5"/>
        <v>0.2888</v>
      </c>
      <c r="AA51" s="55">
        <f t="shared" si="6"/>
        <v>1.4151304108095224</v>
      </c>
      <c r="AB51" s="55">
        <f t="shared" si="7"/>
        <v>0.23561944901923448</v>
      </c>
      <c r="AC51" s="55">
        <f t="shared" si="8"/>
        <v>0.94247779607693793</v>
      </c>
      <c r="AD51" s="55">
        <f t="shared" si="9"/>
        <v>0.52441944901923443</v>
      </c>
      <c r="AE51" s="55">
        <f t="shared" si="9"/>
        <v>2.3576082068864603</v>
      </c>
    </row>
    <row r="52" spans="4:31" hidden="1" x14ac:dyDescent="0.25">
      <c r="D52" s="46"/>
      <c r="E52" s="46"/>
      <c r="F52" s="46"/>
      <c r="G52" s="46"/>
      <c r="H52" s="56" t="s">
        <v>16</v>
      </c>
      <c r="I52" s="37">
        <v>0</v>
      </c>
      <c r="J52" s="38">
        <f t="shared" si="10"/>
        <v>0</v>
      </c>
      <c r="K52" s="39"/>
      <c r="L52" s="58"/>
      <c r="P52" s="54" t="s">
        <v>16</v>
      </c>
      <c r="Q52" s="54" t="s">
        <v>16</v>
      </c>
      <c r="R52" s="54">
        <v>0.3</v>
      </c>
      <c r="S52" s="54">
        <v>0.15</v>
      </c>
      <c r="T52" s="54">
        <v>0.43</v>
      </c>
      <c r="U52" s="55">
        <f t="shared" si="4"/>
        <v>0.21590595511795851</v>
      </c>
      <c r="V52" s="54">
        <v>5</v>
      </c>
      <c r="W52" s="54">
        <v>25</v>
      </c>
      <c r="X52" s="54">
        <v>5</v>
      </c>
      <c r="Y52" s="54">
        <v>8</v>
      </c>
      <c r="Z52" s="55">
        <f t="shared" si="5"/>
        <v>0.36979999999999996</v>
      </c>
      <c r="AA52" s="55">
        <f t="shared" si="6"/>
        <v>1.8633571426604458</v>
      </c>
      <c r="AB52" s="55">
        <f t="shared" si="7"/>
        <v>0.28274333882308139</v>
      </c>
      <c r="AC52" s="55">
        <f t="shared" si="8"/>
        <v>1.1309733552923256</v>
      </c>
      <c r="AD52" s="55">
        <f t="shared" si="9"/>
        <v>0.65254333882308135</v>
      </c>
      <c r="AE52" s="55">
        <f t="shared" si="9"/>
        <v>2.9943304979527712</v>
      </c>
    </row>
    <row r="53" spans="4:31" hidden="1" x14ac:dyDescent="0.25">
      <c r="D53" s="46"/>
      <c r="E53" s="46"/>
      <c r="F53" s="46"/>
      <c r="G53" s="46"/>
      <c r="H53" s="56" t="s">
        <v>17</v>
      </c>
      <c r="I53" s="37">
        <v>0</v>
      </c>
      <c r="J53" s="38">
        <f t="shared" si="10"/>
        <v>0</v>
      </c>
      <c r="K53" s="39"/>
      <c r="L53" s="58"/>
      <c r="P53" s="54" t="s">
        <v>17</v>
      </c>
      <c r="Q53" s="54" t="s">
        <v>17</v>
      </c>
      <c r="R53" s="54">
        <v>0.35</v>
      </c>
      <c r="S53" s="54">
        <v>0.15</v>
      </c>
      <c r="T53" s="54">
        <v>0.48</v>
      </c>
      <c r="U53" s="55">
        <f t="shared" si="4"/>
        <v>0.2496780761440488</v>
      </c>
      <c r="V53" s="54">
        <v>5</v>
      </c>
      <c r="W53" s="54">
        <v>25</v>
      </c>
      <c r="X53" s="54">
        <v>5</v>
      </c>
      <c r="Y53" s="54">
        <v>9</v>
      </c>
      <c r="Z53" s="55">
        <f t="shared" si="5"/>
        <v>0.46079999999999999</v>
      </c>
      <c r="AA53" s="55">
        <f t="shared" si="6"/>
        <v>2.1186115457646171</v>
      </c>
      <c r="AB53" s="55">
        <f t="shared" si="7"/>
        <v>0.32986722862692824</v>
      </c>
      <c r="AC53" s="55">
        <f t="shared" si="8"/>
        <v>1.4844025288211771</v>
      </c>
      <c r="AD53" s="55">
        <f t="shared" si="9"/>
        <v>0.79066722862692829</v>
      </c>
      <c r="AE53" s="55">
        <f t="shared" si="9"/>
        <v>3.6030140745857944</v>
      </c>
    </row>
    <row r="54" spans="4:31" hidden="1" x14ac:dyDescent="0.25">
      <c r="D54" s="46"/>
      <c r="E54" s="46"/>
      <c r="F54" s="46"/>
      <c r="G54" s="46"/>
      <c r="H54" s="56" t="s">
        <v>18</v>
      </c>
      <c r="I54" s="37">
        <v>0</v>
      </c>
      <c r="J54" s="38">
        <f t="shared" si="10"/>
        <v>0</v>
      </c>
      <c r="K54" s="39"/>
      <c r="L54" s="58"/>
      <c r="P54" s="54" t="s">
        <v>18</v>
      </c>
      <c r="Q54" s="54" t="s">
        <v>18</v>
      </c>
      <c r="R54" s="54">
        <v>0.4</v>
      </c>
      <c r="S54" s="54">
        <v>0.15</v>
      </c>
      <c r="T54" s="54">
        <v>0.53</v>
      </c>
      <c r="U54" s="55">
        <f t="shared" si="4"/>
        <v>0.28345019717013908</v>
      </c>
      <c r="V54" s="54">
        <v>5</v>
      </c>
      <c r="W54" s="54">
        <v>25</v>
      </c>
      <c r="X54" s="54">
        <v>5</v>
      </c>
      <c r="Y54" s="54">
        <v>9</v>
      </c>
      <c r="Z54" s="55">
        <f t="shared" si="5"/>
        <v>0.56180000000000008</v>
      </c>
      <c r="AA54" s="55">
        <f t="shared" si="6"/>
        <v>2.3738659488687879</v>
      </c>
      <c r="AB54" s="55">
        <f t="shared" si="7"/>
        <v>0.37699111843077515</v>
      </c>
      <c r="AC54" s="55">
        <f t="shared" si="8"/>
        <v>1.6964600329384882</v>
      </c>
      <c r="AD54" s="55">
        <f t="shared" si="9"/>
        <v>0.93879111843077523</v>
      </c>
      <c r="AE54" s="55">
        <f t="shared" si="9"/>
        <v>4.0703259818072759</v>
      </c>
    </row>
    <row r="55" spans="4:31" hidden="1" x14ac:dyDescent="0.25">
      <c r="D55" s="46"/>
      <c r="E55" s="46"/>
      <c r="F55" s="46"/>
      <c r="G55" s="46"/>
      <c r="H55" s="56" t="s">
        <v>19</v>
      </c>
      <c r="I55" s="37">
        <v>0</v>
      </c>
      <c r="J55" s="38">
        <f t="shared" si="10"/>
        <v>0</v>
      </c>
      <c r="K55" s="39"/>
      <c r="L55" s="58"/>
      <c r="P55" s="54" t="s">
        <v>19</v>
      </c>
      <c r="Q55" s="54" t="s">
        <v>19</v>
      </c>
      <c r="R55" s="54">
        <v>0.45</v>
      </c>
      <c r="S55" s="54">
        <v>0.15</v>
      </c>
      <c r="T55" s="54">
        <v>0.57999999999999996</v>
      </c>
      <c r="U55" s="55">
        <f t="shared" si="4"/>
        <v>0.31722231819622931</v>
      </c>
      <c r="V55" s="54">
        <v>5</v>
      </c>
      <c r="W55" s="54">
        <v>25</v>
      </c>
      <c r="X55" s="54">
        <v>5</v>
      </c>
      <c r="Y55" s="54">
        <v>9</v>
      </c>
      <c r="Z55" s="55">
        <f t="shared" si="5"/>
        <v>0.67279999999999995</v>
      </c>
      <c r="AA55" s="55">
        <f t="shared" si="6"/>
        <v>2.6291203519729573</v>
      </c>
      <c r="AB55" s="55">
        <f t="shared" si="7"/>
        <v>0.42411500823462206</v>
      </c>
      <c r="AC55" s="55">
        <f t="shared" si="8"/>
        <v>1.9085175370557992</v>
      </c>
      <c r="AD55" s="55">
        <f t="shared" si="9"/>
        <v>1.096915008234622</v>
      </c>
      <c r="AE55" s="55">
        <f t="shared" si="9"/>
        <v>4.5376378890287565</v>
      </c>
    </row>
    <row r="56" spans="4:31" hidden="1" x14ac:dyDescent="0.25">
      <c r="D56" s="46"/>
      <c r="E56" s="46"/>
      <c r="F56" s="46"/>
      <c r="G56" s="46"/>
      <c r="H56" s="56" t="s">
        <v>20</v>
      </c>
      <c r="I56" s="37">
        <v>0</v>
      </c>
      <c r="J56" s="38">
        <f t="shared" si="10"/>
        <v>0</v>
      </c>
      <c r="K56" s="39"/>
      <c r="L56" s="58"/>
      <c r="P56" s="54" t="s">
        <v>20</v>
      </c>
      <c r="Q56" s="54" t="s">
        <v>20</v>
      </c>
      <c r="R56" s="54">
        <v>0.5</v>
      </c>
      <c r="S56" s="54">
        <v>0.15</v>
      </c>
      <c r="T56" s="54">
        <v>0.63</v>
      </c>
      <c r="U56" s="55">
        <f t="shared" si="4"/>
        <v>0.35099443922231965</v>
      </c>
      <c r="V56" s="54">
        <v>5</v>
      </c>
      <c r="W56" s="54">
        <v>28</v>
      </c>
      <c r="X56" s="54">
        <v>5</v>
      </c>
      <c r="Y56" s="54">
        <v>10</v>
      </c>
      <c r="Z56" s="55">
        <f t="shared" si="5"/>
        <v>0.79380000000000006</v>
      </c>
      <c r="AA56" s="55">
        <f t="shared" si="6"/>
        <v>3.2304997256863848</v>
      </c>
      <c r="AB56" s="55">
        <f t="shared" si="7"/>
        <v>0.47123889803846897</v>
      </c>
      <c r="AC56" s="55">
        <f t="shared" si="8"/>
        <v>2.3561944901923448</v>
      </c>
      <c r="AD56" s="55">
        <f t="shared" si="9"/>
        <v>1.265038898038469</v>
      </c>
      <c r="AE56" s="55">
        <f t="shared" si="9"/>
        <v>5.5866942158787296</v>
      </c>
    </row>
    <row r="57" spans="4:31" hidden="1" x14ac:dyDescent="0.25">
      <c r="D57" s="46"/>
      <c r="E57" s="46"/>
      <c r="F57" s="46"/>
      <c r="G57" s="46"/>
      <c r="H57" s="56" t="s">
        <v>21</v>
      </c>
      <c r="I57" s="37">
        <v>0</v>
      </c>
      <c r="J57" s="38">
        <f t="shared" si="10"/>
        <v>0</v>
      </c>
      <c r="K57" s="39"/>
      <c r="L57" s="58"/>
      <c r="P57" s="54" t="s">
        <v>21</v>
      </c>
      <c r="Q57" s="54" t="s">
        <v>21</v>
      </c>
      <c r="R57" s="54">
        <v>0.6</v>
      </c>
      <c r="S57" s="54">
        <v>0.15</v>
      </c>
      <c r="T57" s="54">
        <v>0.73</v>
      </c>
      <c r="U57" s="55">
        <f t="shared" si="4"/>
        <v>0.41853868127450011</v>
      </c>
      <c r="V57" s="54">
        <v>5</v>
      </c>
      <c r="W57" s="54">
        <v>30</v>
      </c>
      <c r="X57" s="54">
        <v>5</v>
      </c>
      <c r="Y57" s="54">
        <v>11</v>
      </c>
      <c r="Z57" s="55">
        <f t="shared" si="5"/>
        <v>1.0657999999999999</v>
      </c>
      <c r="AA57" s="55">
        <f t="shared" si="6"/>
        <v>4.0738602735425626</v>
      </c>
      <c r="AB57" s="55">
        <f t="shared" si="7"/>
        <v>0.56548667764616278</v>
      </c>
      <c r="AC57" s="55">
        <f t="shared" si="8"/>
        <v>3.1101767270538954</v>
      </c>
      <c r="AD57" s="55">
        <f t="shared" si="9"/>
        <v>1.6312866776461625</v>
      </c>
      <c r="AE57" s="55">
        <f t="shared" si="9"/>
        <v>7.184037000596458</v>
      </c>
    </row>
    <row r="58" spans="4:31" hidden="1" x14ac:dyDescent="0.25">
      <c r="L58" s="59"/>
      <c r="P58" s="378"/>
      <c r="Q58" s="378"/>
      <c r="R58" s="378"/>
      <c r="S58" s="378"/>
      <c r="T58" s="378"/>
      <c r="U58" s="378"/>
      <c r="V58" s="441" t="s">
        <v>31</v>
      </c>
      <c r="W58" s="441"/>
    </row>
    <row r="59" spans="4:31" hidden="1" x14ac:dyDescent="0.25">
      <c r="L59" s="59"/>
      <c r="P59" s="378"/>
      <c r="Q59" s="378" t="s">
        <v>51</v>
      </c>
      <c r="R59" s="378" t="s">
        <v>6</v>
      </c>
      <c r="S59" s="378" t="s">
        <v>9</v>
      </c>
      <c r="T59" s="378" t="s">
        <v>10</v>
      </c>
      <c r="U59" s="378" t="s">
        <v>8</v>
      </c>
      <c r="V59" s="378" t="s">
        <v>4</v>
      </c>
      <c r="W59" s="378" t="s">
        <v>3</v>
      </c>
    </row>
    <row r="60" spans="4:31" x14ac:dyDescent="0.25">
      <c r="L60" s="59"/>
      <c r="P60" s="378" t="s">
        <v>32</v>
      </c>
      <c r="Q60" s="378" t="s">
        <v>32</v>
      </c>
      <c r="R60" s="60">
        <v>0</v>
      </c>
      <c r="S60" s="60">
        <v>0</v>
      </c>
      <c r="T60" s="378">
        <v>0</v>
      </c>
      <c r="U60" s="61">
        <f t="shared" ref="U60:U78" si="12">((PI()/4)*(T60^2))</f>
        <v>0</v>
      </c>
      <c r="V60" s="378">
        <v>5</v>
      </c>
      <c r="W60" s="54">
        <v>12</v>
      </c>
    </row>
    <row r="61" spans="4:31" x14ac:dyDescent="0.25">
      <c r="D61" s="62"/>
      <c r="E61" s="62">
        <f t="shared" ref="E61:E78" si="13">LOOKUP(H61,B.FLG,B.FLG.FRP)</f>
        <v>15</v>
      </c>
      <c r="F61" s="46"/>
      <c r="G61" s="46"/>
      <c r="H61" s="63" t="s">
        <v>36</v>
      </c>
      <c r="I61" s="37">
        <v>1</v>
      </c>
      <c r="J61" s="38">
        <f t="shared" ref="J61:J78" si="14">LOOKUP(H61,B.FLG,B.FLG.AREA)*(CEILING(D61/3,1))*I61</f>
        <v>0</v>
      </c>
      <c r="K61" s="39">
        <f>LOOKUP(H61,B.FLG,B.FLG.AREA)</f>
        <v>1.2667686977437444E-2</v>
      </c>
      <c r="L61" s="216">
        <v>0.22</v>
      </c>
      <c r="M61" s="179">
        <f>L61*I61</f>
        <v>0.22</v>
      </c>
      <c r="P61" s="378" t="s">
        <v>33</v>
      </c>
      <c r="Q61" s="378" t="s">
        <v>33</v>
      </c>
      <c r="R61" s="60">
        <v>1.4999999999999999E-2</v>
      </c>
      <c r="S61" s="60">
        <v>0.15</v>
      </c>
      <c r="T61" s="60">
        <v>8.8999999999999996E-2</v>
      </c>
      <c r="U61" s="61">
        <f t="shared" si="12"/>
        <v>6.221138852271187E-3</v>
      </c>
      <c r="V61" s="378">
        <v>5</v>
      </c>
      <c r="W61" s="54">
        <v>12</v>
      </c>
    </row>
    <row r="62" spans="4:31" x14ac:dyDescent="0.25">
      <c r="D62" s="62"/>
      <c r="E62" s="62">
        <f t="shared" si="13"/>
        <v>18</v>
      </c>
      <c r="F62" s="46"/>
      <c r="G62" s="46"/>
      <c r="H62" s="63" t="s">
        <v>40</v>
      </c>
      <c r="I62" s="37">
        <v>0</v>
      </c>
      <c r="J62" s="38">
        <f t="shared" si="14"/>
        <v>0</v>
      </c>
      <c r="K62" s="39">
        <f>LOOKUP(H62,B.FLG,B.FLG.AREA)</f>
        <v>4.1187065086725587E-2</v>
      </c>
      <c r="L62" s="216">
        <v>1.63</v>
      </c>
      <c r="M62" s="179">
        <f>L62*I62</f>
        <v>0</v>
      </c>
      <c r="P62" s="378" t="s">
        <v>34</v>
      </c>
      <c r="Q62" s="378" t="s">
        <v>34</v>
      </c>
      <c r="R62" s="60">
        <v>0.02</v>
      </c>
      <c r="S62" s="60">
        <v>0.15</v>
      </c>
      <c r="T62" s="60">
        <v>9.8000000000000004E-2</v>
      </c>
      <c r="U62" s="61">
        <f t="shared" si="12"/>
        <v>7.5429639612690945E-3</v>
      </c>
      <c r="V62" s="378">
        <v>5</v>
      </c>
      <c r="W62" s="54">
        <v>12</v>
      </c>
    </row>
    <row r="63" spans="4:31" hidden="1" x14ac:dyDescent="0.25">
      <c r="D63" s="62"/>
      <c r="E63" s="62">
        <f t="shared" si="13"/>
        <v>18</v>
      </c>
      <c r="F63" s="46"/>
      <c r="G63" s="46"/>
      <c r="H63" s="63" t="s">
        <v>39</v>
      </c>
      <c r="I63" s="37">
        <v>0</v>
      </c>
      <c r="J63" s="38">
        <f>LOOKUP(H63,B.FLG,B.FLG.AREA)*(CEILING(D63/3,1))*I63</f>
        <v>0</v>
      </c>
      <c r="K63" s="39">
        <f>LOOKUP(H63,B.FLG,B.FLG.AREA)</f>
        <v>2.8652110398902312E-2</v>
      </c>
      <c r="L63" s="64">
        <v>0.38</v>
      </c>
      <c r="M63" s="374">
        <f t="shared" ref="M63:M65" si="15">L63*I63</f>
        <v>0</v>
      </c>
      <c r="P63" s="378" t="s">
        <v>35</v>
      </c>
      <c r="Q63" s="378" t="s">
        <v>35</v>
      </c>
      <c r="R63" s="60">
        <v>2.5000000000000001E-2</v>
      </c>
      <c r="S63" s="60">
        <v>0.15</v>
      </c>
      <c r="T63" s="60">
        <v>0.108</v>
      </c>
      <c r="U63" s="61">
        <f t="shared" si="12"/>
        <v>9.1608841778678361E-3</v>
      </c>
      <c r="V63" s="378">
        <v>5</v>
      </c>
      <c r="W63" s="54">
        <v>12</v>
      </c>
    </row>
    <row r="64" spans="4:31" hidden="1" x14ac:dyDescent="0.25">
      <c r="D64" s="62"/>
      <c r="E64" s="62">
        <f t="shared" si="13"/>
        <v>18</v>
      </c>
      <c r="F64" s="46"/>
      <c r="G64" s="46"/>
      <c r="H64" s="63" t="s">
        <v>40</v>
      </c>
      <c r="I64" s="37">
        <v>0</v>
      </c>
      <c r="J64" s="38">
        <f t="shared" si="14"/>
        <v>0</v>
      </c>
      <c r="K64" s="39">
        <f>LOOKUP(H64,B.FLG,B.FLG.AREA)</f>
        <v>4.1187065086725587E-2</v>
      </c>
      <c r="L64" s="64">
        <v>0.46</v>
      </c>
      <c r="M64" s="374">
        <f t="shared" si="15"/>
        <v>0</v>
      </c>
      <c r="P64" s="378" t="s">
        <v>36</v>
      </c>
      <c r="Q64" s="378" t="s">
        <v>36</v>
      </c>
      <c r="R64" s="60">
        <v>0.04</v>
      </c>
      <c r="S64" s="60">
        <v>0.15</v>
      </c>
      <c r="T64" s="60">
        <v>0.127</v>
      </c>
      <c r="U64" s="61">
        <f t="shared" si="12"/>
        <v>1.2667686977437444E-2</v>
      </c>
      <c r="V64" s="378">
        <v>5</v>
      </c>
      <c r="W64" s="54">
        <v>15</v>
      </c>
    </row>
    <row r="65" spans="4:23" hidden="1" x14ac:dyDescent="0.25">
      <c r="D65" s="62"/>
      <c r="E65" s="62">
        <f t="shared" si="13"/>
        <v>25</v>
      </c>
      <c r="F65" s="46"/>
      <c r="G65" s="46"/>
      <c r="H65" s="63" t="s">
        <v>48</v>
      </c>
      <c r="I65" s="37">
        <v>0</v>
      </c>
      <c r="J65" s="38">
        <f t="shared" si="14"/>
        <v>0</v>
      </c>
      <c r="K65" s="39">
        <f>LOOKUP(H65,B.FLG,B.FLG.AREA)*1.5</f>
        <v>0.39631191325035237</v>
      </c>
      <c r="L65" s="64">
        <v>4.46</v>
      </c>
      <c r="M65" s="374">
        <f t="shared" si="15"/>
        <v>0</v>
      </c>
      <c r="P65" s="378" t="s">
        <v>37</v>
      </c>
      <c r="Q65" s="378" t="s">
        <v>37</v>
      </c>
      <c r="R65" s="60">
        <v>0.05</v>
      </c>
      <c r="S65" s="60">
        <v>0.15</v>
      </c>
      <c r="T65" s="60">
        <v>0.152</v>
      </c>
      <c r="U65" s="61">
        <f t="shared" si="12"/>
        <v>1.8145839167134643E-2</v>
      </c>
      <c r="V65" s="378">
        <v>5</v>
      </c>
      <c r="W65" s="54">
        <v>15</v>
      </c>
    </row>
    <row r="66" spans="4:23" hidden="1" x14ac:dyDescent="0.25">
      <c r="D66" s="62"/>
      <c r="E66" s="62">
        <f t="shared" si="13"/>
        <v>30</v>
      </c>
      <c r="F66" s="46"/>
      <c r="G66" s="46"/>
      <c r="H66" s="63" t="s">
        <v>50</v>
      </c>
      <c r="I66" s="37">
        <v>0</v>
      </c>
      <c r="J66" s="38">
        <f t="shared" si="14"/>
        <v>0</v>
      </c>
      <c r="K66" s="39">
        <f t="shared" ref="K66:K78" si="16">LOOKUP(H66,B.FLG,B.FLG.AREA)</f>
        <v>0.41853868127450011</v>
      </c>
      <c r="L66" s="65">
        <f t="shared" ref="L66" si="17">+E66*K66*I66</f>
        <v>0</v>
      </c>
      <c r="P66" s="378" t="s">
        <v>38</v>
      </c>
      <c r="Q66" s="378" t="s">
        <v>38</v>
      </c>
      <c r="R66" s="60">
        <v>6.5000000000000002E-2</v>
      </c>
      <c r="S66" s="60">
        <v>0.15</v>
      </c>
      <c r="T66" s="60">
        <v>0.17799999999999999</v>
      </c>
      <c r="U66" s="61">
        <f t="shared" si="12"/>
        <v>2.4884555409084748E-2</v>
      </c>
      <c r="V66" s="378">
        <v>5</v>
      </c>
      <c r="W66" s="54">
        <v>15</v>
      </c>
    </row>
    <row r="67" spans="4:23" hidden="1" x14ac:dyDescent="0.25">
      <c r="D67" s="62"/>
      <c r="E67" s="62">
        <f t="shared" si="13"/>
        <v>30</v>
      </c>
      <c r="F67" s="46"/>
      <c r="G67" s="46"/>
      <c r="H67" s="63" t="s">
        <v>50</v>
      </c>
      <c r="I67" s="37">
        <v>0</v>
      </c>
      <c r="J67" s="38">
        <f t="shared" si="14"/>
        <v>0</v>
      </c>
      <c r="K67" s="39">
        <f t="shared" si="16"/>
        <v>0.41853868127450011</v>
      </c>
      <c r="L67" s="64">
        <f>+E67*K67*I67*2</f>
        <v>0</v>
      </c>
      <c r="M67" s="374" t="s">
        <v>116</v>
      </c>
      <c r="P67" s="378" t="s">
        <v>39</v>
      </c>
      <c r="Q67" s="378" t="s">
        <v>39</v>
      </c>
      <c r="R67" s="60">
        <v>0.08</v>
      </c>
      <c r="S67" s="60">
        <v>0.15</v>
      </c>
      <c r="T67" s="60">
        <v>0.191</v>
      </c>
      <c r="U67" s="61">
        <f t="shared" si="12"/>
        <v>2.8652110398902312E-2</v>
      </c>
      <c r="V67" s="378">
        <v>5</v>
      </c>
      <c r="W67" s="54">
        <v>18</v>
      </c>
    </row>
    <row r="68" spans="4:23" hidden="1" x14ac:dyDescent="0.25">
      <c r="D68" s="62"/>
      <c r="E68" s="62">
        <f t="shared" si="13"/>
        <v>30</v>
      </c>
      <c r="F68" s="46"/>
      <c r="G68" s="46"/>
      <c r="H68" s="63" t="s">
        <v>50</v>
      </c>
      <c r="I68" s="37">
        <v>0</v>
      </c>
      <c r="J68" s="38">
        <f t="shared" si="14"/>
        <v>0</v>
      </c>
      <c r="K68" s="39">
        <f t="shared" si="16"/>
        <v>0.41853868127450011</v>
      </c>
      <c r="L68" s="39">
        <f t="shared" ref="L68:L78" si="18">+E68*K68*I68</f>
        <v>0</v>
      </c>
      <c r="P68" s="378" t="s">
        <v>40</v>
      </c>
      <c r="Q68" s="378" t="s">
        <v>40</v>
      </c>
      <c r="R68" s="60">
        <v>0.1</v>
      </c>
      <c r="S68" s="60">
        <v>0.15</v>
      </c>
      <c r="T68" s="60">
        <v>0.22900000000000001</v>
      </c>
      <c r="U68" s="61">
        <f t="shared" si="12"/>
        <v>4.1187065086725587E-2</v>
      </c>
      <c r="V68" s="378">
        <v>5</v>
      </c>
      <c r="W68" s="54">
        <v>18</v>
      </c>
    </row>
    <row r="69" spans="4:23" hidden="1" x14ac:dyDescent="0.25">
      <c r="D69" s="62"/>
      <c r="E69" s="62">
        <f t="shared" si="13"/>
        <v>30</v>
      </c>
      <c r="F69" s="46"/>
      <c r="G69" s="46"/>
      <c r="H69" s="63" t="s">
        <v>50</v>
      </c>
      <c r="I69" s="37">
        <v>0</v>
      </c>
      <c r="J69" s="38">
        <f t="shared" si="14"/>
        <v>0</v>
      </c>
      <c r="K69" s="39">
        <f t="shared" si="16"/>
        <v>0.41853868127450011</v>
      </c>
      <c r="L69" s="39">
        <f t="shared" si="18"/>
        <v>0</v>
      </c>
      <c r="M69" s="66"/>
      <c r="P69" s="378" t="s">
        <v>41</v>
      </c>
      <c r="Q69" s="378" t="s">
        <v>41</v>
      </c>
      <c r="R69" s="60">
        <v>0.125</v>
      </c>
      <c r="S69" s="60">
        <v>0.15</v>
      </c>
      <c r="T69" s="60">
        <v>0.254</v>
      </c>
      <c r="U69" s="61">
        <f t="shared" si="12"/>
        <v>5.0670747909749778E-2</v>
      </c>
      <c r="V69" s="378">
        <v>5</v>
      </c>
      <c r="W69" s="54">
        <v>18</v>
      </c>
    </row>
    <row r="70" spans="4:23" hidden="1" x14ac:dyDescent="0.25">
      <c r="D70" s="62"/>
      <c r="E70" s="62">
        <f t="shared" si="13"/>
        <v>20</v>
      </c>
      <c r="F70" s="46"/>
      <c r="G70" s="46"/>
      <c r="H70" s="63" t="s">
        <v>42</v>
      </c>
      <c r="I70" s="37">
        <v>0</v>
      </c>
      <c r="J70" s="38">
        <f t="shared" si="14"/>
        <v>0</v>
      </c>
      <c r="K70" s="39">
        <f t="shared" si="16"/>
        <v>6.1136178437020787E-2</v>
      </c>
      <c r="L70" s="39">
        <f t="shared" si="18"/>
        <v>0</v>
      </c>
      <c r="P70" s="378" t="s">
        <v>42</v>
      </c>
      <c r="Q70" s="378" t="s">
        <v>42</v>
      </c>
      <c r="R70" s="60">
        <v>0.15</v>
      </c>
      <c r="S70" s="60">
        <v>0.15</v>
      </c>
      <c r="T70" s="60">
        <v>0.27900000000000003</v>
      </c>
      <c r="U70" s="61">
        <f t="shared" si="12"/>
        <v>6.1136178437020787E-2</v>
      </c>
      <c r="V70" s="378">
        <v>5</v>
      </c>
      <c r="W70" s="54">
        <v>20</v>
      </c>
    </row>
    <row r="71" spans="4:23" hidden="1" x14ac:dyDescent="0.25">
      <c r="D71" s="62"/>
      <c r="E71" s="62">
        <f t="shared" si="13"/>
        <v>20</v>
      </c>
      <c r="F71" s="46"/>
      <c r="G71" s="46"/>
      <c r="H71" s="63" t="s">
        <v>43</v>
      </c>
      <c r="I71" s="37">
        <v>0</v>
      </c>
      <c r="J71" s="38">
        <f t="shared" si="14"/>
        <v>0</v>
      </c>
      <c r="K71" s="39">
        <f t="shared" si="16"/>
        <v>8.5529859993982132E-2</v>
      </c>
      <c r="L71" s="39">
        <f t="shared" si="18"/>
        <v>0</v>
      </c>
      <c r="P71" s="378" t="s">
        <v>43</v>
      </c>
      <c r="Q71" s="378" t="s">
        <v>43</v>
      </c>
      <c r="R71" s="60">
        <v>0.2</v>
      </c>
      <c r="S71" s="60">
        <v>0.15</v>
      </c>
      <c r="T71" s="60">
        <v>0.33</v>
      </c>
      <c r="U71" s="61">
        <f t="shared" si="12"/>
        <v>8.5529859993982132E-2</v>
      </c>
      <c r="V71" s="378">
        <v>5</v>
      </c>
      <c r="W71" s="54">
        <v>20</v>
      </c>
    </row>
    <row r="72" spans="4:23" hidden="1" x14ac:dyDescent="0.25">
      <c r="D72" s="62"/>
      <c r="E72" s="62">
        <f t="shared" si="13"/>
        <v>22</v>
      </c>
      <c r="F72" s="46"/>
      <c r="G72" s="46"/>
      <c r="H72" s="63" t="s">
        <v>44</v>
      </c>
      <c r="I72" s="37">
        <v>0</v>
      </c>
      <c r="J72" s="38">
        <f t="shared" si="14"/>
        <v>0</v>
      </c>
      <c r="K72" s="39">
        <f t="shared" si="16"/>
        <v>0.11341149479459153</v>
      </c>
      <c r="L72" s="39">
        <f t="shared" si="18"/>
        <v>0</v>
      </c>
      <c r="P72" s="378" t="s">
        <v>44</v>
      </c>
      <c r="Q72" s="378" t="s">
        <v>44</v>
      </c>
      <c r="R72" s="60">
        <v>0.25</v>
      </c>
      <c r="S72" s="60">
        <v>0.15</v>
      </c>
      <c r="T72" s="60">
        <v>0.38</v>
      </c>
      <c r="U72" s="61">
        <f t="shared" si="12"/>
        <v>0.11341149479459153</v>
      </c>
      <c r="V72" s="378">
        <v>5</v>
      </c>
      <c r="W72" s="54">
        <v>22</v>
      </c>
    </row>
    <row r="73" spans="4:23" hidden="1" x14ac:dyDescent="0.25">
      <c r="D73" s="62"/>
      <c r="E73" s="62">
        <f t="shared" si="13"/>
        <v>22</v>
      </c>
      <c r="F73" s="46"/>
      <c r="G73" s="46"/>
      <c r="H73" s="63" t="s">
        <v>45</v>
      </c>
      <c r="I73" s="37">
        <v>0</v>
      </c>
      <c r="J73" s="38">
        <f t="shared" si="14"/>
        <v>0</v>
      </c>
      <c r="K73" s="39">
        <f t="shared" si="16"/>
        <v>0.14522012041218818</v>
      </c>
      <c r="L73" s="39">
        <f t="shared" si="18"/>
        <v>0</v>
      </c>
      <c r="P73" s="378" t="s">
        <v>45</v>
      </c>
      <c r="Q73" s="378" t="s">
        <v>45</v>
      </c>
      <c r="R73" s="60">
        <v>0.3</v>
      </c>
      <c r="S73" s="60">
        <v>0.15</v>
      </c>
      <c r="T73" s="60">
        <v>0.43</v>
      </c>
      <c r="U73" s="61">
        <f t="shared" si="12"/>
        <v>0.14522012041218818</v>
      </c>
      <c r="V73" s="378">
        <v>5</v>
      </c>
      <c r="W73" s="54">
        <v>22</v>
      </c>
    </row>
    <row r="74" spans="4:23" hidden="1" x14ac:dyDescent="0.25">
      <c r="D74" s="62"/>
      <c r="E74" s="62">
        <f t="shared" si="13"/>
        <v>25</v>
      </c>
      <c r="F74" s="46"/>
      <c r="G74" s="46"/>
      <c r="H74" s="63" t="s">
        <v>46</v>
      </c>
      <c r="I74" s="37">
        <v>0</v>
      </c>
      <c r="J74" s="38">
        <f t="shared" si="14"/>
        <v>0</v>
      </c>
      <c r="K74" s="39">
        <f t="shared" si="16"/>
        <v>0.18095573684677208</v>
      </c>
      <c r="L74" s="39">
        <f t="shared" si="18"/>
        <v>0</v>
      </c>
      <c r="P74" s="378" t="s">
        <v>46</v>
      </c>
      <c r="Q74" s="378" t="s">
        <v>46</v>
      </c>
      <c r="R74" s="60">
        <v>0.35</v>
      </c>
      <c r="S74" s="60">
        <v>0.15</v>
      </c>
      <c r="T74" s="60">
        <v>0.48</v>
      </c>
      <c r="U74" s="61">
        <f t="shared" si="12"/>
        <v>0.18095573684677208</v>
      </c>
      <c r="V74" s="378">
        <v>5</v>
      </c>
      <c r="W74" s="54">
        <v>25</v>
      </c>
    </row>
    <row r="75" spans="4:23" hidden="1" x14ac:dyDescent="0.25">
      <c r="D75" s="62"/>
      <c r="E75" s="62">
        <f t="shared" si="13"/>
        <v>25</v>
      </c>
      <c r="F75" s="46"/>
      <c r="G75" s="46"/>
      <c r="H75" s="63" t="s">
        <v>47</v>
      </c>
      <c r="I75" s="37">
        <v>0</v>
      </c>
      <c r="J75" s="38">
        <f t="shared" si="14"/>
        <v>0</v>
      </c>
      <c r="K75" s="39">
        <f t="shared" si="16"/>
        <v>0.22061834409834324</v>
      </c>
      <c r="L75" s="39">
        <f t="shared" si="18"/>
        <v>0</v>
      </c>
      <c r="P75" s="378" t="s">
        <v>47</v>
      </c>
      <c r="Q75" s="378" t="s">
        <v>47</v>
      </c>
      <c r="R75" s="60">
        <v>0.4</v>
      </c>
      <c r="S75" s="60">
        <v>0.15</v>
      </c>
      <c r="T75" s="60">
        <v>0.53</v>
      </c>
      <c r="U75" s="61">
        <f t="shared" si="12"/>
        <v>0.22061834409834324</v>
      </c>
      <c r="V75" s="378">
        <v>5</v>
      </c>
      <c r="W75" s="54">
        <v>25</v>
      </c>
    </row>
    <row r="76" spans="4:23" hidden="1" x14ac:dyDescent="0.25">
      <c r="D76" s="62"/>
      <c r="E76" s="62">
        <f t="shared" si="13"/>
        <v>25</v>
      </c>
      <c r="F76" s="46"/>
      <c r="G76" s="46"/>
      <c r="H76" s="63" t="s">
        <v>48</v>
      </c>
      <c r="I76" s="37">
        <v>0</v>
      </c>
      <c r="J76" s="38">
        <f t="shared" si="14"/>
        <v>0</v>
      </c>
      <c r="K76" s="39">
        <f t="shared" si="16"/>
        <v>0.26420794216690158</v>
      </c>
      <c r="L76" s="39">
        <f t="shared" si="18"/>
        <v>0</v>
      </c>
      <c r="P76" s="378" t="s">
        <v>48</v>
      </c>
      <c r="Q76" s="378" t="s">
        <v>48</v>
      </c>
      <c r="R76" s="60">
        <v>0.45</v>
      </c>
      <c r="S76" s="60">
        <v>0.15</v>
      </c>
      <c r="T76" s="60">
        <v>0.57999999999999996</v>
      </c>
      <c r="U76" s="61">
        <f t="shared" si="12"/>
        <v>0.26420794216690158</v>
      </c>
      <c r="V76" s="378">
        <v>5</v>
      </c>
      <c r="W76" s="54">
        <v>25</v>
      </c>
    </row>
    <row r="77" spans="4:23" hidden="1" x14ac:dyDescent="0.25">
      <c r="D77" s="62"/>
      <c r="E77" s="62">
        <f t="shared" si="13"/>
        <v>28</v>
      </c>
      <c r="F77" s="46"/>
      <c r="G77" s="46"/>
      <c r="H77" s="63" t="s">
        <v>49</v>
      </c>
      <c r="I77" s="37">
        <v>0</v>
      </c>
      <c r="J77" s="38">
        <f t="shared" si="14"/>
        <v>0</v>
      </c>
      <c r="K77" s="39">
        <f t="shared" si="16"/>
        <v>0.31172453105244724</v>
      </c>
      <c r="L77" s="39">
        <f t="shared" si="18"/>
        <v>0</v>
      </c>
      <c r="P77" s="378" t="s">
        <v>49</v>
      </c>
      <c r="Q77" s="378" t="s">
        <v>49</v>
      </c>
      <c r="R77" s="60">
        <v>0.5</v>
      </c>
      <c r="S77" s="60">
        <v>0.15</v>
      </c>
      <c r="T77" s="60">
        <v>0.63</v>
      </c>
      <c r="U77" s="61">
        <f t="shared" si="12"/>
        <v>0.31172453105244724</v>
      </c>
      <c r="V77" s="378">
        <v>5</v>
      </c>
      <c r="W77" s="54">
        <v>28</v>
      </c>
    </row>
    <row r="78" spans="4:23" hidden="1" x14ac:dyDescent="0.25">
      <c r="D78" s="62"/>
      <c r="E78" s="62">
        <f t="shared" si="13"/>
        <v>30</v>
      </c>
      <c r="F78" s="46"/>
      <c r="G78" s="46"/>
      <c r="H78" s="63" t="s">
        <v>50</v>
      </c>
      <c r="I78" s="37">
        <v>0</v>
      </c>
      <c r="J78" s="38">
        <f t="shared" si="14"/>
        <v>0</v>
      </c>
      <c r="K78" s="39">
        <f t="shared" si="16"/>
        <v>0.41853868127450011</v>
      </c>
      <c r="L78" s="39">
        <f t="shared" si="18"/>
        <v>0</v>
      </c>
      <c r="P78" s="378" t="s">
        <v>50</v>
      </c>
      <c r="Q78" s="378" t="s">
        <v>50</v>
      </c>
      <c r="R78" s="60">
        <v>0.6</v>
      </c>
      <c r="S78" s="60">
        <v>0.15</v>
      </c>
      <c r="T78" s="60">
        <v>0.73</v>
      </c>
      <c r="U78" s="61">
        <f t="shared" si="12"/>
        <v>0.41853868127450011</v>
      </c>
      <c r="V78" s="378">
        <v>5</v>
      </c>
      <c r="W78" s="54">
        <v>30</v>
      </c>
    </row>
    <row r="80" spans="4:23" x14ac:dyDescent="0.25">
      <c r="J80" s="67">
        <f>SUM(J40:J79)*1.35</f>
        <v>1.8328318675397453</v>
      </c>
      <c r="L80" s="68"/>
      <c r="M80" s="67">
        <f>SUM(M40:M79)*1.25</f>
        <v>21.637499999999996</v>
      </c>
    </row>
    <row r="81" spans="2:17" s="66" customFormat="1" ht="12.75" x14ac:dyDescent="0.25">
      <c r="H81" s="69"/>
      <c r="J81" s="70">
        <f>J21</f>
        <v>0</v>
      </c>
      <c r="K81" s="71"/>
      <c r="L81" s="70" t="str">
        <f>L21</f>
        <v>BIS</v>
      </c>
      <c r="M81" s="72" t="str">
        <f>L21</f>
        <v>BIS</v>
      </c>
      <c r="N81" s="70" t="str">
        <f>M21</f>
        <v>BIS</v>
      </c>
      <c r="O81" s="73"/>
    </row>
    <row r="82" spans="2:17" ht="18" x14ac:dyDescent="0.25">
      <c r="C82" s="213" t="str">
        <f>'01_1.35 KL'!C82</f>
        <v>MOC BY PARAMOUNT &amp; THK AS PER JRF</v>
      </c>
      <c r="D82" s="214"/>
      <c r="E82" s="214"/>
      <c r="F82" s="214"/>
      <c r="G82" s="214"/>
      <c r="H82" s="215"/>
      <c r="J82" s="74">
        <f>SUM(J23:J37)</f>
        <v>4.2746461355322811</v>
      </c>
      <c r="K82" s="75"/>
      <c r="L82" s="74">
        <f>SUM(L23:L37)</f>
        <v>9.8017690792001542</v>
      </c>
      <c r="M82" s="74">
        <f t="shared" ref="M82:N82" si="19">SUM(M23:M37)</f>
        <v>28.984333822019433</v>
      </c>
      <c r="N82" s="74">
        <f t="shared" si="19"/>
        <v>3.267256359733385</v>
      </c>
    </row>
    <row r="83" spans="2:17" ht="18" x14ac:dyDescent="0.25">
      <c r="B83" s="376"/>
      <c r="D83" s="376"/>
      <c r="E83" s="376"/>
      <c r="F83" s="376"/>
      <c r="G83" s="376"/>
      <c r="H83" s="6"/>
      <c r="I83" s="376"/>
      <c r="J83" s="376" t="s">
        <v>77</v>
      </c>
      <c r="K83" s="76"/>
      <c r="L83" s="77" t="s">
        <v>78</v>
      </c>
      <c r="M83" s="78" t="s">
        <v>78</v>
      </c>
      <c r="N83" s="79" t="s">
        <v>78</v>
      </c>
      <c r="O83" s="376"/>
    </row>
    <row r="84" spans="2:17" s="86" customFormat="1" ht="20.25" customHeight="1" x14ac:dyDescent="0.25">
      <c r="B84" s="70" t="s">
        <v>117</v>
      </c>
      <c r="C84" s="80" t="s">
        <v>62</v>
      </c>
      <c r="D84" s="81"/>
      <c r="E84" s="81"/>
      <c r="F84" s="82"/>
      <c r="G84" s="83"/>
      <c r="H84" s="83" t="s">
        <v>63</v>
      </c>
      <c r="I84" s="83"/>
      <c r="J84" s="83" t="s">
        <v>64</v>
      </c>
      <c r="K84" s="84"/>
      <c r="L84" s="84"/>
      <c r="M84" s="84"/>
      <c r="N84" s="85"/>
    </row>
    <row r="85" spans="2:17" x14ac:dyDescent="0.25">
      <c r="B85" s="87" t="s">
        <v>88</v>
      </c>
      <c r="C85" s="88" t="s">
        <v>118</v>
      </c>
      <c r="D85" s="89">
        <f>J81</f>
        <v>0</v>
      </c>
      <c r="E85" s="380"/>
      <c r="F85" s="180"/>
      <c r="G85" s="179">
        <f>CEILING(J82*1.05,1)</f>
        <v>5</v>
      </c>
      <c r="H85" s="91">
        <f>'RESIN RATE'!E12</f>
        <v>0</v>
      </c>
      <c r="I85" s="39" t="s">
        <v>65</v>
      </c>
      <c r="J85" s="92">
        <f>+G85*H85</f>
        <v>0</v>
      </c>
      <c r="K85" s="93"/>
      <c r="N85" s="94">
        <f>+J81</f>
        <v>0</v>
      </c>
    </row>
    <row r="86" spans="2:17" x14ac:dyDescent="0.25">
      <c r="B86" s="87" t="s">
        <v>119</v>
      </c>
      <c r="C86" s="95" t="s">
        <v>79</v>
      </c>
      <c r="D86" s="409" t="str">
        <f>L81</f>
        <v>BIS</v>
      </c>
      <c r="E86" s="380" t="s">
        <v>197</v>
      </c>
      <c r="F86" s="180"/>
      <c r="G86" s="179">
        <f>CEILING(L82*1.1,1)</f>
        <v>11</v>
      </c>
      <c r="H86" s="91">
        <f>'RESIN RATE'!D12</f>
        <v>565</v>
      </c>
      <c r="I86" s="39" t="s">
        <v>65</v>
      </c>
      <c r="J86" s="92">
        <f t="shared" ref="J86:J91" si="20">+G86*H86</f>
        <v>6215</v>
      </c>
      <c r="K86" s="93"/>
      <c r="N86" s="94" t="s">
        <v>80</v>
      </c>
    </row>
    <row r="87" spans="2:17" x14ac:dyDescent="0.25">
      <c r="B87" s="87" t="s">
        <v>120</v>
      </c>
      <c r="C87" s="95" t="s">
        <v>79</v>
      </c>
      <c r="D87" s="409" t="str">
        <f>M81</f>
        <v>BIS</v>
      </c>
      <c r="E87" s="380" t="s">
        <v>197</v>
      </c>
      <c r="F87" s="180"/>
      <c r="G87" s="179">
        <f>CEILING(M82*1.1,1)</f>
        <v>32</v>
      </c>
      <c r="H87" s="91">
        <f>'RESIN RATE'!D12</f>
        <v>565</v>
      </c>
      <c r="I87" s="39" t="s">
        <v>65</v>
      </c>
      <c r="J87" s="92">
        <f t="shared" si="20"/>
        <v>18080</v>
      </c>
      <c r="K87" s="93"/>
      <c r="N87" s="94" t="s">
        <v>80</v>
      </c>
    </row>
    <row r="88" spans="2:17" x14ac:dyDescent="0.25">
      <c r="B88" s="87" t="s">
        <v>121</v>
      </c>
      <c r="C88" s="95" t="s">
        <v>79</v>
      </c>
      <c r="D88" s="409" t="str">
        <f>N81</f>
        <v>BIS</v>
      </c>
      <c r="E88" s="380" t="s">
        <v>197</v>
      </c>
      <c r="F88" s="180"/>
      <c r="G88" s="179">
        <f>CEILING(N82*1.1,1)</f>
        <v>4</v>
      </c>
      <c r="H88" s="91">
        <f>'RESIN RATE'!D12</f>
        <v>565</v>
      </c>
      <c r="I88" s="39" t="s">
        <v>65</v>
      </c>
      <c r="J88" s="92">
        <f t="shared" si="20"/>
        <v>2260</v>
      </c>
      <c r="K88" s="93"/>
      <c r="N88" s="94" t="s">
        <v>80</v>
      </c>
    </row>
    <row r="89" spans="2:17" x14ac:dyDescent="0.25">
      <c r="B89" s="87" t="s">
        <v>122</v>
      </c>
      <c r="C89" s="310" t="s">
        <v>123</v>
      </c>
      <c r="D89" s="311"/>
      <c r="E89" s="294"/>
      <c r="F89" s="377"/>
      <c r="G89" s="54">
        <v>0</v>
      </c>
      <c r="H89" s="295">
        <f>CEILING(G85*100,50)</f>
        <v>500</v>
      </c>
      <c r="I89" s="55" t="s">
        <v>65</v>
      </c>
      <c r="J89" s="296">
        <f t="shared" si="20"/>
        <v>0</v>
      </c>
      <c r="K89" s="93"/>
      <c r="N89" s="94" t="s">
        <v>81</v>
      </c>
    </row>
    <row r="90" spans="2:17" s="49" customFormat="1" x14ac:dyDescent="0.25">
      <c r="B90" s="96" t="s">
        <v>124</v>
      </c>
      <c r="C90" s="400" t="s">
        <v>327</v>
      </c>
      <c r="D90" s="401"/>
      <c r="E90" s="402"/>
      <c r="F90" s="403"/>
      <c r="G90" s="404">
        <v>4</v>
      </c>
      <c r="H90" s="405">
        <f>CEILING((0.06*1.2*10)*1.25*H86,50)</f>
        <v>550</v>
      </c>
      <c r="I90" s="406" t="s">
        <v>65</v>
      </c>
      <c r="J90" s="407">
        <f t="shared" si="20"/>
        <v>2200</v>
      </c>
      <c r="K90" s="408">
        <f>J90/H86</f>
        <v>3.8938053097345131</v>
      </c>
      <c r="N90" s="103" t="s">
        <v>81</v>
      </c>
      <c r="Q90" s="49" t="s">
        <v>125</v>
      </c>
    </row>
    <row r="91" spans="2:17" s="49" customFormat="1" x14ac:dyDescent="0.25">
      <c r="B91" s="96"/>
      <c r="C91" s="400" t="s">
        <v>331</v>
      </c>
      <c r="D91" s="401"/>
      <c r="E91" s="402"/>
      <c r="F91" s="403"/>
      <c r="G91" s="404">
        <v>1</v>
      </c>
      <c r="H91" s="405">
        <f>CEILING((0.3*0.15*4*8+0.3*0.3*20*0.1+0.3*0.3*20)*1.25*H86,50)</f>
        <v>2450</v>
      </c>
      <c r="I91" s="406" t="s">
        <v>65</v>
      </c>
      <c r="J91" s="407">
        <f t="shared" si="20"/>
        <v>2450</v>
      </c>
      <c r="K91" s="408">
        <f>J91/H87</f>
        <v>4.336283185840708</v>
      </c>
      <c r="N91" s="103"/>
    </row>
    <row r="92" spans="2:17" x14ac:dyDescent="0.25">
      <c r="B92" s="87" t="s">
        <v>126</v>
      </c>
      <c r="C92" s="105" t="s">
        <v>68</v>
      </c>
      <c r="D92" s="106"/>
      <c r="E92" s="380"/>
      <c r="F92" s="180"/>
      <c r="G92" s="179">
        <v>1</v>
      </c>
      <c r="H92" s="107">
        <f>CEILING((SUM(J40:J78)*H85+SUM(M40:M65)*H86)*1.15,500)</f>
        <v>11500</v>
      </c>
      <c r="I92" s="39" t="s">
        <v>65</v>
      </c>
      <c r="J92" s="92">
        <f t="shared" ref="J92:J110" si="21">+G92*H92</f>
        <v>11500</v>
      </c>
      <c r="K92" s="93"/>
      <c r="N92" s="94" t="s">
        <v>80</v>
      </c>
    </row>
    <row r="93" spans="2:17" x14ac:dyDescent="0.25">
      <c r="B93" s="87" t="s">
        <v>127</v>
      </c>
      <c r="C93" s="108" t="s">
        <v>271</v>
      </c>
      <c r="D93" s="109"/>
      <c r="E93" s="380"/>
      <c r="F93" s="180"/>
      <c r="G93" s="179">
        <v>1</v>
      </c>
      <c r="H93" s="107">
        <f>CEILING((100*1+1800*1)*1.2,100)</f>
        <v>2300</v>
      </c>
      <c r="I93" s="39" t="s">
        <v>65</v>
      </c>
      <c r="J93" s="92">
        <f t="shared" si="21"/>
        <v>2300</v>
      </c>
      <c r="K93" s="93"/>
      <c r="N93" s="94" t="s">
        <v>81</v>
      </c>
    </row>
    <row r="94" spans="2:17" x14ac:dyDescent="0.25">
      <c r="B94" s="87" t="s">
        <v>128</v>
      </c>
      <c r="C94" s="108" t="s">
        <v>270</v>
      </c>
      <c r="D94" s="109"/>
      <c r="E94" s="380"/>
      <c r="F94" s="180"/>
      <c r="G94" s="179">
        <v>1</v>
      </c>
      <c r="H94" s="345">
        <f>CEILING((75*0+300*0+2500*1)*1.1,100)</f>
        <v>2800</v>
      </c>
      <c r="I94" s="39" t="s">
        <v>65</v>
      </c>
      <c r="J94" s="92">
        <f t="shared" si="21"/>
        <v>2800</v>
      </c>
      <c r="K94" s="93"/>
      <c r="N94" s="94" t="s">
        <v>81</v>
      </c>
    </row>
    <row r="95" spans="2:17" s="49" customFormat="1" x14ac:dyDescent="0.25">
      <c r="B95" s="96" t="s">
        <v>130</v>
      </c>
      <c r="C95" s="292" t="s">
        <v>131</v>
      </c>
      <c r="D95" s="293"/>
      <c r="E95" s="294"/>
      <c r="F95" s="377"/>
      <c r="G95" s="54">
        <v>0</v>
      </c>
      <c r="H95" s="295">
        <f>H93*0.9</f>
        <v>2070</v>
      </c>
      <c r="I95" s="55" t="s">
        <v>65</v>
      </c>
      <c r="J95" s="296">
        <f t="shared" si="21"/>
        <v>0</v>
      </c>
      <c r="K95" s="93"/>
      <c r="L95" s="374"/>
      <c r="N95" s="103" t="s">
        <v>81</v>
      </c>
    </row>
    <row r="96" spans="2:17" s="49" customFormat="1" x14ac:dyDescent="0.25">
      <c r="B96" s="96" t="s">
        <v>132</v>
      </c>
      <c r="C96" s="292" t="s">
        <v>133</v>
      </c>
      <c r="D96" s="293"/>
      <c r="E96" s="294"/>
      <c r="F96" s="377"/>
      <c r="G96" s="54">
        <v>0</v>
      </c>
      <c r="H96" s="295">
        <f>H94</f>
        <v>2800</v>
      </c>
      <c r="I96" s="55" t="s">
        <v>65</v>
      </c>
      <c r="J96" s="296">
        <f t="shared" si="21"/>
        <v>0</v>
      </c>
      <c r="K96" s="93"/>
      <c r="L96" s="374"/>
      <c r="N96" s="103" t="s">
        <v>81</v>
      </c>
    </row>
    <row r="97" spans="2:27" s="49" customFormat="1" x14ac:dyDescent="0.25">
      <c r="B97" s="96"/>
      <c r="C97" s="110" t="s">
        <v>134</v>
      </c>
      <c r="D97" s="111"/>
      <c r="E97" s="97"/>
      <c r="F97" s="98"/>
      <c r="G97" s="99">
        <v>1</v>
      </c>
      <c r="H97" s="100">
        <f>CEILING(PI()/4*(DIA^2)*12*2*80,50)</f>
        <v>550</v>
      </c>
      <c r="I97" s="101" t="s">
        <v>65</v>
      </c>
      <c r="J97" s="102">
        <f t="shared" si="21"/>
        <v>550</v>
      </c>
      <c r="K97" s="93"/>
      <c r="L97" s="374"/>
      <c r="N97" s="103" t="s">
        <v>81</v>
      </c>
    </row>
    <row r="98" spans="2:27" s="113" customFormat="1" x14ac:dyDescent="0.25">
      <c r="B98" s="87" t="s">
        <v>135</v>
      </c>
      <c r="C98" s="305" t="s">
        <v>136</v>
      </c>
      <c r="D98" s="306"/>
      <c r="E98" s="307"/>
      <c r="F98" s="308"/>
      <c r="G98" s="295">
        <v>0</v>
      </c>
      <c r="H98" s="309">
        <v>20000</v>
      </c>
      <c r="I98" s="55" t="s">
        <v>65</v>
      </c>
      <c r="J98" s="296">
        <f t="shared" si="21"/>
        <v>0</v>
      </c>
      <c r="K98" s="93"/>
      <c r="L98" s="374"/>
      <c r="M98" s="374"/>
      <c r="N98" s="112" t="s">
        <v>81</v>
      </c>
      <c r="P98" s="374"/>
      <c r="Q98" s="374"/>
      <c r="R98" s="374"/>
      <c r="S98" s="374"/>
      <c r="T98" s="374"/>
      <c r="U98" s="374"/>
      <c r="V98" s="374"/>
      <c r="W98" s="374"/>
      <c r="X98" s="374"/>
      <c r="Y98" s="374"/>
      <c r="Z98" s="374"/>
      <c r="AA98" s="374"/>
    </row>
    <row r="99" spans="2:27" x14ac:dyDescent="0.25">
      <c r="B99" s="87" t="s">
        <v>137</v>
      </c>
      <c r="C99" s="390" t="s">
        <v>89</v>
      </c>
      <c r="D99" s="391"/>
      <c r="E99" s="392"/>
      <c r="F99" s="393"/>
      <c r="G99" s="394">
        <v>4</v>
      </c>
      <c r="H99" s="395">
        <v>500</v>
      </c>
      <c r="I99" s="396" t="s">
        <v>65</v>
      </c>
      <c r="J99" s="397">
        <f t="shared" si="21"/>
        <v>2000</v>
      </c>
      <c r="K99" s="93"/>
      <c r="N99" s="94" t="s">
        <v>81</v>
      </c>
    </row>
    <row r="100" spans="2:27" x14ac:dyDescent="0.25">
      <c r="B100" s="87" t="s">
        <v>138</v>
      </c>
      <c r="C100" s="114" t="s">
        <v>139</v>
      </c>
      <c r="D100" s="115"/>
      <c r="E100" s="97"/>
      <c r="F100" s="98"/>
      <c r="G100" s="99">
        <v>3</v>
      </c>
      <c r="H100" s="100">
        <f>0.2*10*H86</f>
        <v>1130</v>
      </c>
      <c r="I100" s="101" t="s">
        <v>65</v>
      </c>
      <c r="J100" s="92">
        <f t="shared" si="21"/>
        <v>3390</v>
      </c>
      <c r="K100" s="38">
        <f>J100/H86</f>
        <v>6</v>
      </c>
      <c r="N100" s="94" t="s">
        <v>80</v>
      </c>
    </row>
    <row r="101" spans="2:27" x14ac:dyDescent="0.25">
      <c r="B101" s="87"/>
      <c r="C101" s="114" t="s">
        <v>140</v>
      </c>
      <c r="D101" s="115"/>
      <c r="E101" s="97"/>
      <c r="F101" s="98"/>
      <c r="G101" s="99">
        <v>3</v>
      </c>
      <c r="H101" s="100">
        <f>CEILING(2.4*110+0.9*H86,10)</f>
        <v>780</v>
      </c>
      <c r="I101" s="101" t="s">
        <v>65</v>
      </c>
      <c r="J101" s="92">
        <f t="shared" si="21"/>
        <v>2340</v>
      </c>
      <c r="K101" s="38">
        <f>0.9*G101</f>
        <v>2.7</v>
      </c>
      <c r="N101" s="94" t="s">
        <v>82</v>
      </c>
    </row>
    <row r="102" spans="2:27" x14ac:dyDescent="0.25">
      <c r="B102" s="87" t="s">
        <v>141</v>
      </c>
      <c r="C102" s="297" t="s">
        <v>142</v>
      </c>
      <c r="D102" s="298"/>
      <c r="E102" s="299"/>
      <c r="F102" s="300"/>
      <c r="G102" s="301">
        <v>0</v>
      </c>
      <c r="H102" s="302">
        <f>CEILING((PI()*DIA*0.1*5+((0.2*0.2*18*2+0.15*0.15*12*2)*4))*8*75*1.25,500)</f>
        <v>7000</v>
      </c>
      <c r="I102" s="303" t="s">
        <v>65</v>
      </c>
      <c r="J102" s="304">
        <f t="shared" si="21"/>
        <v>0</v>
      </c>
      <c r="K102" s="93"/>
      <c r="N102" s="94" t="s">
        <v>82</v>
      </c>
    </row>
    <row r="103" spans="2:27" x14ac:dyDescent="0.25">
      <c r="B103" s="87" t="s">
        <v>143</v>
      </c>
      <c r="C103" s="292" t="s">
        <v>144</v>
      </c>
      <c r="D103" s="293"/>
      <c r="E103" s="294"/>
      <c r="F103" s="377"/>
      <c r="G103" s="54">
        <f>CEILING(PI()*DIA+HT,1)</f>
        <v>4</v>
      </c>
      <c r="H103" s="295">
        <v>0</v>
      </c>
      <c r="I103" s="55" t="s">
        <v>65</v>
      </c>
      <c r="J103" s="296">
        <f t="shared" si="21"/>
        <v>0</v>
      </c>
      <c r="K103" s="53">
        <f>+J103/250</f>
        <v>0</v>
      </c>
      <c r="N103" s="94" t="s">
        <v>82</v>
      </c>
    </row>
    <row r="104" spans="2:27" x14ac:dyDescent="0.25">
      <c r="B104" s="87" t="s">
        <v>145</v>
      </c>
      <c r="C104" s="108" t="s">
        <v>67</v>
      </c>
      <c r="D104" s="109"/>
      <c r="E104" s="380"/>
      <c r="F104" s="180"/>
      <c r="G104" s="179">
        <v>1</v>
      </c>
      <c r="H104" s="107">
        <v>750</v>
      </c>
      <c r="I104" s="39" t="s">
        <v>65</v>
      </c>
      <c r="J104" s="92">
        <f t="shared" si="21"/>
        <v>750</v>
      </c>
      <c r="K104" s="93"/>
      <c r="N104" s="94" t="s">
        <v>81</v>
      </c>
    </row>
    <row r="105" spans="2:27" x14ac:dyDescent="0.25">
      <c r="B105" s="87" t="s">
        <v>146</v>
      </c>
      <c r="C105" s="108" t="s">
        <v>147</v>
      </c>
      <c r="D105" s="109"/>
      <c r="E105" s="380"/>
      <c r="F105" s="180"/>
      <c r="G105" s="179">
        <v>0</v>
      </c>
      <c r="H105" s="107">
        <v>1000</v>
      </c>
      <c r="I105" s="39" t="s">
        <v>65</v>
      </c>
      <c r="J105" s="92">
        <f t="shared" si="21"/>
        <v>0</v>
      </c>
      <c r="K105" s="93"/>
      <c r="N105" s="94" t="s">
        <v>84</v>
      </c>
    </row>
    <row r="106" spans="2:27" x14ac:dyDescent="0.25">
      <c r="B106" s="87" t="s">
        <v>148</v>
      </c>
      <c r="C106" s="108" t="s">
        <v>69</v>
      </c>
      <c r="D106" s="109"/>
      <c r="E106" s="380"/>
      <c r="F106" s="180"/>
      <c r="G106" s="179">
        <v>1</v>
      </c>
      <c r="H106" s="107">
        <v>1500</v>
      </c>
      <c r="I106" s="39" t="s">
        <v>65</v>
      </c>
      <c r="J106" s="92">
        <f t="shared" si="21"/>
        <v>1500</v>
      </c>
      <c r="K106" s="93"/>
      <c r="N106" s="94" t="s">
        <v>83</v>
      </c>
    </row>
    <row r="107" spans="2:27" x14ac:dyDescent="0.25">
      <c r="B107" s="87" t="s">
        <v>149</v>
      </c>
      <c r="C107" s="292" t="s">
        <v>150</v>
      </c>
      <c r="D107" s="293"/>
      <c r="E107" s="294"/>
      <c r="F107" s="377"/>
      <c r="G107" s="54">
        <v>0</v>
      </c>
      <c r="H107" s="295">
        <v>2500</v>
      </c>
      <c r="I107" s="55" t="s">
        <v>65</v>
      </c>
      <c r="J107" s="296">
        <f t="shared" si="21"/>
        <v>0</v>
      </c>
      <c r="K107" s="93"/>
      <c r="N107" s="94" t="s">
        <v>83</v>
      </c>
    </row>
    <row r="108" spans="2:27" x14ac:dyDescent="0.25">
      <c r="B108" s="87" t="s">
        <v>151</v>
      </c>
      <c r="C108" s="108" t="s">
        <v>85</v>
      </c>
      <c r="D108" s="109"/>
      <c r="E108" s="380"/>
      <c r="F108" s="180"/>
      <c r="G108" s="179">
        <v>0</v>
      </c>
      <c r="H108" s="107">
        <v>0</v>
      </c>
      <c r="I108" s="39" t="s">
        <v>65</v>
      </c>
      <c r="J108" s="92">
        <f t="shared" si="21"/>
        <v>0</v>
      </c>
      <c r="N108" s="94" t="s">
        <v>86</v>
      </c>
    </row>
    <row r="109" spans="2:27" x14ac:dyDescent="0.25">
      <c r="B109" s="87" t="s">
        <v>152</v>
      </c>
      <c r="C109" s="182" t="s">
        <v>71</v>
      </c>
      <c r="D109" s="469">
        <f>+CEILING(M111,500)</f>
        <v>0</v>
      </c>
      <c r="E109" s="469"/>
      <c r="F109" s="180"/>
      <c r="G109" s="116">
        <v>0</v>
      </c>
      <c r="H109" s="107">
        <v>0</v>
      </c>
      <c r="I109" s="39" t="s">
        <v>65</v>
      </c>
      <c r="J109" s="92">
        <f t="shared" si="21"/>
        <v>0</v>
      </c>
      <c r="N109" s="94" t="s">
        <v>83</v>
      </c>
    </row>
    <row r="110" spans="2:27" x14ac:dyDescent="0.25">
      <c r="B110" s="87" t="s">
        <v>153</v>
      </c>
      <c r="C110" s="117" t="s">
        <v>72</v>
      </c>
      <c r="D110" s="118"/>
      <c r="E110" s="22"/>
      <c r="G110" s="116">
        <v>0</v>
      </c>
      <c r="H110" s="107">
        <v>0</v>
      </c>
      <c r="I110" s="39" t="s">
        <v>65</v>
      </c>
      <c r="J110" s="92">
        <f t="shared" si="21"/>
        <v>0</v>
      </c>
      <c r="N110" s="94" t="s">
        <v>83</v>
      </c>
    </row>
    <row r="111" spans="2:27" x14ac:dyDescent="0.25">
      <c r="B111" s="470" t="s">
        <v>66</v>
      </c>
      <c r="C111" s="471"/>
      <c r="D111" s="471"/>
      <c r="E111" s="471"/>
      <c r="F111" s="471"/>
      <c r="G111" s="471"/>
      <c r="H111" s="472"/>
      <c r="I111" s="119" t="s">
        <v>65</v>
      </c>
      <c r="J111" s="120">
        <f>SUM(J85:J110)</f>
        <v>58335</v>
      </c>
      <c r="K111" s="121">
        <f>J111+J114</f>
        <v>66835</v>
      </c>
      <c r="N111" s="53"/>
    </row>
    <row r="112" spans="2:27" x14ac:dyDescent="0.25">
      <c r="B112" s="368"/>
      <c r="C112" s="369"/>
      <c r="D112" s="122"/>
      <c r="E112" s="122"/>
      <c r="F112" s="122"/>
      <c r="G112" s="122"/>
      <c r="H112" s="122"/>
      <c r="I112" s="123"/>
      <c r="J112" s="124">
        <v>0.63</v>
      </c>
      <c r="K112" s="93"/>
      <c r="N112" s="53"/>
    </row>
    <row r="113" spans="2:22" x14ac:dyDescent="0.25">
      <c r="B113" s="341"/>
      <c r="C113" s="342"/>
      <c r="D113" s="122"/>
      <c r="E113" s="122"/>
      <c r="F113" s="122"/>
      <c r="G113" s="122"/>
      <c r="H113" s="122"/>
      <c r="I113" s="340" t="s">
        <v>70</v>
      </c>
      <c r="J113" s="120">
        <f>J111/J112</f>
        <v>92595.238095238092</v>
      </c>
      <c r="K113" s="93"/>
      <c r="N113" s="53"/>
    </row>
    <row r="114" spans="2:22" x14ac:dyDescent="0.25">
      <c r="B114" s="343"/>
      <c r="C114" s="343"/>
      <c r="D114" s="123"/>
      <c r="E114" s="123"/>
      <c r="F114" s="123"/>
      <c r="G114" s="123"/>
      <c r="I114" s="340" t="s">
        <v>259</v>
      </c>
      <c r="J114" s="120">
        <v>8500</v>
      </c>
      <c r="K114" s="93"/>
      <c r="N114" s="53"/>
    </row>
    <row r="115" spans="2:22" x14ac:dyDescent="0.25">
      <c r="B115" s="344"/>
      <c r="C115" s="343"/>
      <c r="D115" s="93"/>
      <c r="E115" s="93"/>
      <c r="F115" s="93"/>
      <c r="G115" s="93"/>
      <c r="H115" s="125"/>
      <c r="I115" s="125"/>
      <c r="J115" s="126">
        <f>J113+J114</f>
        <v>101095.23809523809</v>
      </c>
      <c r="K115" s="125"/>
      <c r="N115" s="93"/>
    </row>
    <row r="116" spans="2:22" x14ac:dyDescent="0.25">
      <c r="B116" s="344"/>
      <c r="C116" s="343"/>
      <c r="D116" s="93"/>
      <c r="I116" s="364"/>
      <c r="J116" s="127">
        <v>0.9</v>
      </c>
      <c r="K116" s="128"/>
      <c r="S116" s="129" t="s">
        <v>154</v>
      </c>
      <c r="T116" s="129" t="s">
        <v>155</v>
      </c>
      <c r="U116" s="130" t="s">
        <v>156</v>
      </c>
    </row>
    <row r="117" spans="2:22" ht="18" x14ac:dyDescent="0.25">
      <c r="B117" s="344"/>
      <c r="C117" s="343"/>
      <c r="I117" s="364"/>
      <c r="J117" s="131">
        <f>CEILING(J115/J116,500)</f>
        <v>112500</v>
      </c>
      <c r="K117" s="125"/>
      <c r="R117" s="132" t="str">
        <f>+D86</f>
        <v>BIS</v>
      </c>
      <c r="S117" s="133">
        <f>+L80+G86</f>
        <v>11</v>
      </c>
      <c r="T117" s="134">
        <v>122</v>
      </c>
      <c r="U117" s="92">
        <f>+S117*T117</f>
        <v>1342</v>
      </c>
    </row>
    <row r="118" spans="2:22" x14ac:dyDescent="0.25">
      <c r="B118" s="344"/>
      <c r="C118" s="343"/>
      <c r="I118" s="364"/>
      <c r="J118" s="53"/>
      <c r="R118" s="132" t="str">
        <f>+D87</f>
        <v>BIS</v>
      </c>
      <c r="S118" s="133">
        <f>+G87</f>
        <v>32</v>
      </c>
      <c r="T118" s="134">
        <v>122</v>
      </c>
      <c r="U118" s="92">
        <f>+S118*T118</f>
        <v>3904</v>
      </c>
    </row>
    <row r="119" spans="2:22" x14ac:dyDescent="0.25">
      <c r="B119" s="26"/>
      <c r="C119" s="458" t="str">
        <f>D4</f>
        <v>M/s PARAMOUNT</v>
      </c>
      <c r="D119" s="458"/>
      <c r="E119" s="458"/>
      <c r="F119" s="458"/>
      <c r="G119" s="491" t="str">
        <f>M2</f>
        <v>R1</v>
      </c>
      <c r="H119" s="494" t="str">
        <f>N2</f>
        <v>03 &amp; 06</v>
      </c>
      <c r="I119" s="473">
        <f>D2</f>
        <v>44530</v>
      </c>
      <c r="J119" s="364"/>
      <c r="K119" s="364"/>
      <c r="S119" s="129"/>
      <c r="T119" s="135"/>
      <c r="U119" s="136">
        <f>SUM(U117:U118)</f>
        <v>5246</v>
      </c>
      <c r="V119" s="113"/>
    </row>
    <row r="120" spans="2:22" x14ac:dyDescent="0.25">
      <c r="B120" s="26"/>
      <c r="C120" s="428" t="str">
        <f>D6</f>
        <v>ACID MEASURING TANK (MB)</v>
      </c>
      <c r="D120" s="429"/>
      <c r="E120" s="429"/>
      <c r="F120" s="430"/>
      <c r="G120" s="492"/>
      <c r="H120" s="495"/>
      <c r="I120" s="474"/>
      <c r="J120" s="364"/>
      <c r="K120" s="364"/>
      <c r="S120" s="129"/>
      <c r="T120" s="135"/>
      <c r="U120" s="136"/>
      <c r="V120" s="113"/>
    </row>
    <row r="121" spans="2:22" x14ac:dyDescent="0.25">
      <c r="B121" s="26"/>
      <c r="C121" s="431" t="str">
        <f>D20</f>
        <v>M.O.C- FRP (BISPHENOL)</v>
      </c>
      <c r="D121" s="432"/>
      <c r="E121" s="432"/>
      <c r="F121" s="433"/>
      <c r="G121" s="493"/>
      <c r="H121" s="496"/>
      <c r="I121" s="475"/>
      <c r="J121" s="364"/>
      <c r="K121" s="364"/>
      <c r="S121" s="129"/>
      <c r="T121" s="137">
        <f>+B114</f>
        <v>0</v>
      </c>
      <c r="U121" s="138">
        <f>+C114</f>
        <v>0</v>
      </c>
    </row>
    <row r="122" spans="2:22" ht="20.25" x14ac:dyDescent="0.25">
      <c r="B122" s="26"/>
      <c r="C122" s="379" t="s">
        <v>91</v>
      </c>
      <c r="D122" s="355">
        <f>D5</f>
        <v>0.33929200658769765</v>
      </c>
      <c r="E122" s="380" t="s">
        <v>92</v>
      </c>
      <c r="F122" s="381"/>
      <c r="G122" s="365"/>
      <c r="H122" s="371"/>
      <c r="I122" s="370"/>
      <c r="J122" s="364"/>
      <c r="K122" s="364"/>
      <c r="S122" s="129"/>
      <c r="T122" s="137"/>
      <c r="U122" s="138"/>
    </row>
    <row r="123" spans="2:22" s="376" customFormat="1" ht="17.25" customHeight="1" x14ac:dyDescent="0.25">
      <c r="B123" s="139"/>
      <c r="C123" s="205"/>
      <c r="D123" s="207" t="s">
        <v>154</v>
      </c>
      <c r="E123" s="437" t="s">
        <v>195</v>
      </c>
      <c r="F123" s="438"/>
      <c r="G123" s="208" t="s">
        <v>156</v>
      </c>
      <c r="H123" s="127" t="s">
        <v>159</v>
      </c>
      <c r="I123" s="127" t="s">
        <v>160</v>
      </c>
      <c r="J123" s="6"/>
      <c r="K123" s="6"/>
      <c r="S123" s="140"/>
      <c r="T123" s="141">
        <f>+B117</f>
        <v>0</v>
      </c>
      <c r="U123" s="143">
        <f>+C117</f>
        <v>0</v>
      </c>
      <c r="V123" s="27"/>
    </row>
    <row r="124" spans="2:22" s="376" customFormat="1" ht="17.25" customHeight="1" x14ac:dyDescent="0.25">
      <c r="B124" s="139"/>
      <c r="C124" s="205">
        <f>D22</f>
        <v>0</v>
      </c>
      <c r="D124" s="333">
        <f>CEILING(G85+J80,1)</f>
        <v>7</v>
      </c>
      <c r="E124" s="134">
        <f>'RESIN RATE'!E6</f>
        <v>0</v>
      </c>
      <c r="F124" s="144">
        <f>D124*E124</f>
        <v>0</v>
      </c>
      <c r="G124" s="144">
        <f>F124</f>
        <v>0</v>
      </c>
      <c r="H124" s="334">
        <v>0.6</v>
      </c>
      <c r="I124" s="92">
        <f>G124/H124</f>
        <v>0</v>
      </c>
      <c r="J124" s="6"/>
      <c r="K124" s="6"/>
      <c r="S124" s="140"/>
      <c r="T124" s="141"/>
      <c r="U124" s="143"/>
      <c r="V124" s="27"/>
    </row>
    <row r="125" spans="2:22" ht="17.25" customHeight="1" x14ac:dyDescent="0.25">
      <c r="B125" s="26"/>
      <c r="C125" s="211" t="str">
        <f>D86</f>
        <v>BIS</v>
      </c>
      <c r="D125" s="145">
        <f>G86+G87+G88+M80+K90+K91+K100+K101</f>
        <v>85.567588495575222</v>
      </c>
      <c r="E125" s="134">
        <f>'RESIN RATE'!D6</f>
        <v>325</v>
      </c>
      <c r="F125" s="144">
        <f>+D125*E125</f>
        <v>27809.466261061949</v>
      </c>
      <c r="G125" s="436">
        <f>SUM(F125:F126)</f>
        <v>27809.466261061949</v>
      </c>
      <c r="H125" s="435">
        <v>0.45</v>
      </c>
      <c r="I125" s="434">
        <f>G125/H125</f>
        <v>61798.813913470993</v>
      </c>
      <c r="J125" s="364"/>
      <c r="K125" s="364"/>
      <c r="S125" s="129"/>
      <c r="T125" s="135" t="e">
        <f>+#REF!</f>
        <v>#REF!</v>
      </c>
      <c r="U125" s="137" t="e">
        <f>+#REF!</f>
        <v>#REF!</v>
      </c>
      <c r="V125" s="146"/>
    </row>
    <row r="126" spans="2:22" x14ac:dyDescent="0.25">
      <c r="B126" s="147"/>
      <c r="C126" s="211" t="str">
        <f>D88</f>
        <v>BIS</v>
      </c>
      <c r="D126" s="145">
        <v>0</v>
      </c>
      <c r="E126" s="134">
        <f>'RESIN RATE'!D6</f>
        <v>325</v>
      </c>
      <c r="F126" s="144">
        <f t="shared" ref="F126:F128" si="22">+D126*E126</f>
        <v>0</v>
      </c>
      <c r="G126" s="436"/>
      <c r="H126" s="435"/>
      <c r="I126" s="434"/>
      <c r="J126" s="364"/>
      <c r="K126" s="364"/>
      <c r="S126" s="146"/>
      <c r="T126" s="129"/>
      <c r="U126" s="148" t="e">
        <f>+U119+#REF!</f>
        <v>#REF!</v>
      </c>
      <c r="V126" s="146"/>
    </row>
    <row r="127" spans="2:22" x14ac:dyDescent="0.25">
      <c r="B127" s="147"/>
      <c r="C127" s="150" t="s">
        <v>157</v>
      </c>
      <c r="D127" s="145">
        <f>(D125+D126)*0.5</f>
        <v>42.783794247787611</v>
      </c>
      <c r="E127" s="134">
        <v>198</v>
      </c>
      <c r="F127" s="144">
        <f t="shared" si="22"/>
        <v>8471.1912610619474</v>
      </c>
      <c r="G127" s="436">
        <f>SUM(F127:F128)</f>
        <v>10182.543030973451</v>
      </c>
      <c r="H127" s="435">
        <v>0.55000000000000004</v>
      </c>
      <c r="I127" s="434">
        <f>G127/H127</f>
        <v>18513.714601769909</v>
      </c>
      <c r="J127" s="364"/>
      <c r="K127" s="364"/>
    </row>
    <row r="128" spans="2:22" x14ac:dyDescent="0.25">
      <c r="B128" s="147"/>
      <c r="C128" s="150" t="s">
        <v>158</v>
      </c>
      <c r="D128" s="145">
        <f>+D126+D125</f>
        <v>85.567588495575222</v>
      </c>
      <c r="E128" s="134">
        <v>20</v>
      </c>
      <c r="F128" s="144">
        <f t="shared" si="22"/>
        <v>1711.3517699115046</v>
      </c>
      <c r="G128" s="436"/>
      <c r="H128" s="435"/>
      <c r="I128" s="434"/>
      <c r="J128" s="364"/>
      <c r="K128" s="364"/>
    </row>
    <row r="129" spans="2:11" x14ac:dyDescent="0.25">
      <c r="B129" s="147"/>
      <c r="C129" s="339" t="s">
        <v>264</v>
      </c>
      <c r="D129" s="145">
        <v>1</v>
      </c>
      <c r="E129" s="134"/>
      <c r="F129" s="144">
        <f>J89</f>
        <v>0</v>
      </c>
      <c r="G129" s="361">
        <f>F129</f>
        <v>0</v>
      </c>
      <c r="H129" s="338">
        <v>0.6</v>
      </c>
      <c r="I129" s="362">
        <f>G129/H129</f>
        <v>0</v>
      </c>
      <c r="J129" s="364"/>
      <c r="K129" s="364"/>
    </row>
    <row r="130" spans="2:11" x14ac:dyDescent="0.25">
      <c r="B130" s="147"/>
      <c r="C130" s="479" t="s">
        <v>81</v>
      </c>
      <c r="D130" s="198" t="s">
        <v>260</v>
      </c>
      <c r="E130" s="134"/>
      <c r="F130" s="92">
        <f>J93+J95</f>
        <v>2300</v>
      </c>
      <c r="G130" s="482">
        <f>SUM(F130:F138)</f>
        <v>12990</v>
      </c>
      <c r="H130" s="488">
        <v>0.7</v>
      </c>
      <c r="I130" s="485">
        <f>G130/H130</f>
        <v>18557.142857142859</v>
      </c>
      <c r="J130" s="364"/>
      <c r="K130" s="364"/>
    </row>
    <row r="131" spans="2:11" x14ac:dyDescent="0.25">
      <c r="B131" s="147"/>
      <c r="C131" s="480"/>
      <c r="D131" s="198" t="s">
        <v>261</v>
      </c>
      <c r="E131" s="134"/>
      <c r="F131" s="92">
        <f>J94+J96</f>
        <v>2800</v>
      </c>
      <c r="G131" s="483"/>
      <c r="H131" s="489"/>
      <c r="I131" s="486"/>
      <c r="J131" s="364"/>
      <c r="K131" s="364"/>
    </row>
    <row r="132" spans="2:11" x14ac:dyDescent="0.25">
      <c r="B132" s="26"/>
      <c r="C132" s="480"/>
      <c r="D132" s="149" t="s">
        <v>162</v>
      </c>
      <c r="E132" s="134"/>
      <c r="F132" s="92">
        <f>J101</f>
        <v>2340</v>
      </c>
      <c r="G132" s="483"/>
      <c r="H132" s="489"/>
      <c r="I132" s="486"/>
      <c r="J132" s="364"/>
      <c r="K132" s="364"/>
    </row>
    <row r="133" spans="2:11" ht="25.5" x14ac:dyDescent="0.25">
      <c r="B133" s="26"/>
      <c r="C133" s="480"/>
      <c r="D133" s="149" t="s">
        <v>134</v>
      </c>
      <c r="E133" s="134"/>
      <c r="F133" s="92">
        <f>J97</f>
        <v>550</v>
      </c>
      <c r="G133" s="483"/>
      <c r="H133" s="489"/>
      <c r="I133" s="486"/>
      <c r="J133" s="364"/>
      <c r="K133" s="364"/>
    </row>
    <row r="134" spans="2:11" s="382" customFormat="1" x14ac:dyDescent="0.25">
      <c r="B134" s="26"/>
      <c r="C134" s="480"/>
      <c r="D134" s="410" t="s">
        <v>336</v>
      </c>
      <c r="E134" s="134"/>
      <c r="F134" s="92">
        <f>J99</f>
        <v>2000</v>
      </c>
      <c r="G134" s="483"/>
      <c r="H134" s="489"/>
      <c r="I134" s="486"/>
      <c r="J134" s="383"/>
      <c r="K134" s="383"/>
    </row>
    <row r="135" spans="2:11" x14ac:dyDescent="0.25">
      <c r="B135" s="26"/>
      <c r="C135" s="480"/>
      <c r="D135" s="149" t="s">
        <v>84</v>
      </c>
      <c r="E135" s="134"/>
      <c r="F135" s="92">
        <f t="shared" ref="F135" si="23">J104</f>
        <v>750</v>
      </c>
      <c r="G135" s="483"/>
      <c r="H135" s="489"/>
      <c r="I135" s="486"/>
      <c r="J135" s="364"/>
      <c r="K135" s="364"/>
    </row>
    <row r="136" spans="2:11" x14ac:dyDescent="0.25">
      <c r="B136" s="26"/>
      <c r="C136" s="480"/>
      <c r="D136" s="149" t="s">
        <v>268</v>
      </c>
      <c r="E136" s="134"/>
      <c r="F136" s="92">
        <f>J104</f>
        <v>750</v>
      </c>
      <c r="G136" s="483"/>
      <c r="H136" s="489"/>
      <c r="I136" s="486"/>
      <c r="J136" s="364"/>
      <c r="K136" s="364"/>
    </row>
    <row r="137" spans="2:11" x14ac:dyDescent="0.25">
      <c r="B137" s="26"/>
      <c r="C137" s="480"/>
      <c r="D137" s="149" t="s">
        <v>262</v>
      </c>
      <c r="E137" s="134"/>
      <c r="F137" s="92">
        <f>J106</f>
        <v>1500</v>
      </c>
      <c r="G137" s="483"/>
      <c r="H137" s="489"/>
      <c r="I137" s="486"/>
      <c r="J137" s="364"/>
      <c r="K137" s="364"/>
    </row>
    <row r="138" spans="2:11" ht="15" customHeight="1" x14ac:dyDescent="0.25">
      <c r="C138" s="481"/>
      <c r="D138" s="337" t="s">
        <v>263</v>
      </c>
      <c r="E138" s="337"/>
      <c r="F138" s="92">
        <f>J107</f>
        <v>0</v>
      </c>
      <c r="G138" s="484"/>
      <c r="H138" s="490"/>
      <c r="I138" s="487"/>
      <c r="J138" s="364"/>
      <c r="K138" s="364"/>
    </row>
    <row r="139" spans="2:11" ht="15.75" x14ac:dyDescent="0.25">
      <c r="B139" s="26"/>
      <c r="C139" s="179"/>
      <c r="D139" s="179"/>
      <c r="E139" s="179"/>
      <c r="F139" s="153" t="s">
        <v>57</v>
      </c>
      <c r="G139" s="153">
        <f>SUM(G125:G138)</f>
        <v>50982.0092920354</v>
      </c>
      <c r="H139" s="200">
        <f>G139/I139</f>
        <v>0.51496979082864036</v>
      </c>
      <c r="I139" s="153">
        <f>CEILING(SUM(I124:I138),500)</f>
        <v>99000</v>
      </c>
      <c r="J139" s="146"/>
      <c r="K139" s="364"/>
    </row>
    <row r="140" spans="2:11" x14ac:dyDescent="0.25">
      <c r="B140" s="26"/>
      <c r="C140" s="193" t="s">
        <v>70</v>
      </c>
      <c r="D140" s="194" t="s">
        <v>312</v>
      </c>
      <c r="E140" s="195"/>
      <c r="F140" s="196"/>
      <c r="G140" s="197"/>
      <c r="H140" s="217"/>
      <c r="I140" s="151">
        <v>9500</v>
      </c>
      <c r="J140" s="6"/>
      <c r="K140" s="6"/>
    </row>
    <row r="141" spans="2:11" ht="22.5" customHeight="1" x14ac:dyDescent="0.25">
      <c r="B141" s="155"/>
      <c r="F141" s="152"/>
      <c r="G141" s="152"/>
      <c r="H141" s="218">
        <f>G139/I141</f>
        <v>0.46988026997267651</v>
      </c>
      <c r="I141" s="199">
        <f>I139+I140</f>
        <v>108500</v>
      </c>
      <c r="J141" s="146"/>
      <c r="K141" s="364"/>
    </row>
    <row r="142" spans="2:11" ht="15.75" x14ac:dyDescent="0.25">
      <c r="C142" s="456" t="s">
        <v>164</v>
      </c>
      <c r="D142" s="457">
        <f>G139+I140</f>
        <v>60482.0092920354</v>
      </c>
      <c r="H142" s="142" t="s">
        <v>163</v>
      </c>
      <c r="I142" s="154">
        <v>0.9</v>
      </c>
      <c r="J142" s="146"/>
      <c r="K142" s="364"/>
    </row>
    <row r="143" spans="2:11" ht="18" x14ac:dyDescent="0.25">
      <c r="C143" s="456"/>
      <c r="D143" s="457"/>
      <c r="H143" s="218">
        <f>G139/I143</f>
        <v>0.4213389197688876</v>
      </c>
      <c r="I143" s="156">
        <f>CEILING(I141/I142,500)</f>
        <v>121000</v>
      </c>
      <c r="J143" s="209"/>
      <c r="K143" s="210"/>
    </row>
  </sheetData>
  <sheetProtection selectLockedCells="1"/>
  <autoFilter ref="L84:N116"/>
  <mergeCells count="41">
    <mergeCell ref="C130:C138"/>
    <mergeCell ref="G130:G138"/>
    <mergeCell ref="H130:H138"/>
    <mergeCell ref="I130:I138"/>
    <mergeCell ref="C142:C143"/>
    <mergeCell ref="D142:D143"/>
    <mergeCell ref="E123:F123"/>
    <mergeCell ref="G125:G126"/>
    <mergeCell ref="H125:H126"/>
    <mergeCell ref="I125:I126"/>
    <mergeCell ref="G127:G128"/>
    <mergeCell ref="H127:H128"/>
    <mergeCell ref="I127:I128"/>
    <mergeCell ref="I119:I121"/>
    <mergeCell ref="C120:F120"/>
    <mergeCell ref="C121:F121"/>
    <mergeCell ref="V37:W37"/>
    <mergeCell ref="X37:Y37"/>
    <mergeCell ref="D109:E109"/>
    <mergeCell ref="B111:H111"/>
    <mergeCell ref="C119:F119"/>
    <mergeCell ref="G119:G121"/>
    <mergeCell ref="H119:H121"/>
    <mergeCell ref="Z37:AA37"/>
    <mergeCell ref="AB37:AC37"/>
    <mergeCell ref="AD37:AE37"/>
    <mergeCell ref="V58:W58"/>
    <mergeCell ref="F10:G12"/>
    <mergeCell ref="J11:L11"/>
    <mergeCell ref="J12:L12"/>
    <mergeCell ref="J13:L13"/>
    <mergeCell ref="J14:L14"/>
    <mergeCell ref="D21:G21"/>
    <mergeCell ref="H21:H22"/>
    <mergeCell ref="I21:I22"/>
    <mergeCell ref="T8:T10"/>
    <mergeCell ref="M2:M4"/>
    <mergeCell ref="N2:N4"/>
    <mergeCell ref="J5:J7"/>
    <mergeCell ref="L5:L7"/>
    <mergeCell ref="R8:R10"/>
  </mergeCells>
  <dataValidations count="2">
    <dataValidation type="list" allowBlank="1" showInputMessage="1" showErrorMessage="1" sqref="H40:H57">
      <formula1>$P$40:$P$57</formula1>
    </dataValidation>
    <dataValidation type="list" allowBlank="1" showInputMessage="1" showErrorMessage="1" sqref="H61:H78">
      <formula1>$P$60:$P$78</formula1>
    </dataValidation>
  </dataValidations>
  <printOptions horizontalCentered="1" verticalCentered="1"/>
  <pageMargins left="0.39370078740157483" right="0.19685039370078741" top="0.19685039370078741" bottom="0.19685039370078741" header="0" footer="0"/>
  <pageSetup paperSize="9" scale="52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view="pageBreakPreview" zoomScale="160" zoomScaleNormal="100" zoomScaleSheetLayoutView="160" workbookViewId="0">
      <selection activeCell="O135" sqref="O135"/>
    </sheetView>
  </sheetViews>
  <sheetFormatPr defaultRowHeight="15" x14ac:dyDescent="0.25"/>
  <cols>
    <col min="1" max="1" width="20.85546875" customWidth="1"/>
    <col min="2" max="2" width="20.85546875" hidden="1" customWidth="1"/>
    <col min="3" max="3" width="11.140625" hidden="1" customWidth="1"/>
    <col min="4" max="4" width="7.140625" customWidth="1"/>
    <col min="5" max="5" width="13.42578125" customWidth="1"/>
    <col min="6" max="6" width="11.42578125" customWidth="1"/>
    <col min="7" max="7" width="12" customWidth="1"/>
  </cols>
  <sheetData>
    <row r="1" spans="1:14" x14ac:dyDescent="0.25">
      <c r="E1" s="291">
        <v>44512</v>
      </c>
      <c r="F1" s="219"/>
    </row>
    <row r="2" spans="1:14" ht="27" customHeight="1" x14ac:dyDescent="0.25">
      <c r="A2" s="220" t="s">
        <v>199</v>
      </c>
      <c r="B2" s="220"/>
      <c r="C2" s="221"/>
      <c r="E2" s="222"/>
      <c r="N2" s="223" t="s">
        <v>200</v>
      </c>
    </row>
    <row r="3" spans="1:14" ht="25.5" x14ac:dyDescent="0.25">
      <c r="A3" s="224"/>
      <c r="B3" s="225" t="s">
        <v>201</v>
      </c>
      <c r="C3" s="226" t="s">
        <v>202</v>
      </c>
      <c r="D3" s="356" t="s">
        <v>319</v>
      </c>
      <c r="E3" s="227" t="s">
        <v>258</v>
      </c>
    </row>
    <row r="4" spans="1:14" x14ac:dyDescent="0.25">
      <c r="A4" s="228" t="s">
        <v>203</v>
      </c>
      <c r="B4" s="229" t="s">
        <v>204</v>
      </c>
      <c r="C4" s="230" t="s">
        <v>205</v>
      </c>
      <c r="D4" s="231" t="s">
        <v>3</v>
      </c>
      <c r="E4" s="231"/>
    </row>
    <row r="5" spans="1:14" x14ac:dyDescent="0.25">
      <c r="A5" s="228"/>
      <c r="B5" s="232"/>
      <c r="C5" s="233"/>
      <c r="D5" s="234"/>
      <c r="E5" s="234"/>
    </row>
    <row r="6" spans="1:14" x14ac:dyDescent="0.25">
      <c r="A6" s="235" t="s">
        <v>206</v>
      </c>
      <c r="B6" s="236">
        <v>145</v>
      </c>
      <c r="C6" s="236">
        <v>550</v>
      </c>
      <c r="D6" s="235">
        <v>325</v>
      </c>
      <c r="E6" s="235">
        <v>0</v>
      </c>
    </row>
    <row r="7" spans="1:14" x14ac:dyDescent="0.25">
      <c r="A7" s="228" t="s">
        <v>207</v>
      </c>
      <c r="B7" s="237">
        <v>78</v>
      </c>
      <c r="C7" s="237">
        <v>78</v>
      </c>
      <c r="D7" s="228">
        <v>98</v>
      </c>
      <c r="E7" s="228"/>
    </row>
    <row r="8" spans="1:14" x14ac:dyDescent="0.25">
      <c r="A8" s="228" t="s">
        <v>208</v>
      </c>
      <c r="B8" s="237">
        <v>20</v>
      </c>
      <c r="C8" s="238">
        <v>20</v>
      </c>
      <c r="D8" s="239">
        <v>20</v>
      </c>
      <c r="E8" s="239"/>
    </row>
    <row r="9" spans="1:14" x14ac:dyDescent="0.25">
      <c r="A9" s="228" t="s">
        <v>209</v>
      </c>
      <c r="B9" s="237">
        <f t="shared" ref="B9" si="0">+(B6+B7)*5/100</f>
        <v>11.15</v>
      </c>
      <c r="C9" s="238">
        <f>+(C6+C7)*5/100</f>
        <v>31.4</v>
      </c>
      <c r="D9" s="239">
        <f t="shared" ref="D9" si="1">+(D6+D7)*5/100</f>
        <v>21.15</v>
      </c>
      <c r="E9" s="239"/>
    </row>
    <row r="10" spans="1:14" x14ac:dyDescent="0.25">
      <c r="A10" s="228" t="s">
        <v>90</v>
      </c>
      <c r="B10" s="237">
        <v>100</v>
      </c>
      <c r="C10" s="238">
        <v>100</v>
      </c>
      <c r="D10" s="239">
        <v>100</v>
      </c>
      <c r="E10" s="239">
        <v>0</v>
      </c>
    </row>
    <row r="11" spans="1:14" x14ac:dyDescent="0.25">
      <c r="A11" s="228"/>
      <c r="B11" s="237">
        <f t="shared" ref="B11" si="2">SUM(B6:B10)</f>
        <v>354.15</v>
      </c>
      <c r="C11" s="238">
        <f>SUM(C6:C10)</f>
        <v>779.4</v>
      </c>
      <c r="D11" s="239">
        <f t="shared" ref="D11:E11" si="3">SUM(D6:D10)</f>
        <v>564.15</v>
      </c>
      <c r="E11" s="239">
        <f t="shared" si="3"/>
        <v>0</v>
      </c>
    </row>
    <row r="12" spans="1:14" x14ac:dyDescent="0.25">
      <c r="A12" s="228" t="s">
        <v>210</v>
      </c>
      <c r="B12" s="232">
        <f t="shared" ref="B12" si="4">CEILING(B11,5)</f>
        <v>355</v>
      </c>
      <c r="C12" s="233">
        <f>CEILING(C11,5)</f>
        <v>780</v>
      </c>
      <c r="D12" s="240">
        <f t="shared" ref="D12:E12" si="5">CEILING(D11,5)</f>
        <v>565</v>
      </c>
      <c r="E12" s="240">
        <f t="shared" si="5"/>
        <v>0</v>
      </c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scale="13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10"/>
  <sheetViews>
    <sheetView view="pageBreakPreview" zoomScale="115" zoomScaleNormal="100" zoomScaleSheetLayoutView="115" workbookViewId="0">
      <selection activeCell="F5" sqref="F5"/>
    </sheetView>
  </sheetViews>
  <sheetFormatPr defaultRowHeight="15" x14ac:dyDescent="0.25"/>
  <cols>
    <col min="1" max="1" width="5.85546875" customWidth="1"/>
    <col min="2" max="2" width="17.42578125" customWidth="1"/>
    <col min="3" max="3" width="8.85546875" customWidth="1"/>
    <col min="5" max="5" width="5.85546875" customWidth="1"/>
    <col min="6" max="6" width="11.140625" customWidth="1"/>
    <col min="7" max="7" width="11.42578125" bestFit="1" customWidth="1"/>
    <col min="8" max="8" width="17.140625" bestFit="1" customWidth="1"/>
    <col min="9" max="9" width="14.140625" bestFit="1" customWidth="1"/>
    <col min="10" max="10" width="27.7109375" customWidth="1"/>
  </cols>
  <sheetData>
    <row r="2" spans="1:10" ht="21" x14ac:dyDescent="0.25">
      <c r="A2" s="503" t="s">
        <v>256</v>
      </c>
      <c r="B2" s="503"/>
      <c r="C2" s="503"/>
      <c r="D2" s="503"/>
      <c r="E2" s="503"/>
      <c r="F2" s="503"/>
      <c r="G2" s="503"/>
      <c r="H2" s="503"/>
      <c r="I2" s="503"/>
      <c r="J2" s="503"/>
    </row>
    <row r="3" spans="1:10" x14ac:dyDescent="0.25">
      <c r="A3" s="278"/>
      <c r="B3" s="278"/>
      <c r="C3" s="278"/>
      <c r="D3" s="278"/>
      <c r="E3" s="278"/>
      <c r="F3" s="278"/>
      <c r="G3" s="278"/>
      <c r="H3" s="278"/>
      <c r="I3" s="278"/>
      <c r="J3" s="279" t="s">
        <v>255</v>
      </c>
    </row>
    <row r="4" spans="1:10" ht="45" x14ac:dyDescent="0.25">
      <c r="A4" s="254" t="s">
        <v>213</v>
      </c>
      <c r="B4" s="255" t="s">
        <v>214</v>
      </c>
      <c r="C4" s="255" t="s">
        <v>215</v>
      </c>
      <c r="D4" s="255" t="s">
        <v>216</v>
      </c>
      <c r="E4" s="255" t="s">
        <v>154</v>
      </c>
      <c r="F4" s="255" t="s">
        <v>217</v>
      </c>
      <c r="G4" s="254" t="s">
        <v>257</v>
      </c>
      <c r="H4" s="254" t="s">
        <v>252</v>
      </c>
      <c r="I4" s="254" t="s">
        <v>251</v>
      </c>
      <c r="J4" s="254" t="s">
        <v>235</v>
      </c>
    </row>
    <row r="5" spans="1:10" ht="45" x14ac:dyDescent="0.25">
      <c r="A5" s="255">
        <v>1</v>
      </c>
      <c r="B5" s="257" t="s">
        <v>234</v>
      </c>
      <c r="C5" s="257" t="s">
        <v>236</v>
      </c>
      <c r="D5" s="258" t="s">
        <v>246</v>
      </c>
      <c r="E5" s="259">
        <v>2</v>
      </c>
      <c r="F5" s="258" t="s">
        <v>279</v>
      </c>
      <c r="G5" s="276" t="s">
        <v>250</v>
      </c>
      <c r="H5" s="254" t="s">
        <v>253</v>
      </c>
      <c r="I5" s="254" t="s">
        <v>253</v>
      </c>
      <c r="J5" s="277" t="s">
        <v>254</v>
      </c>
    </row>
    <row r="6" spans="1:10" ht="45" x14ac:dyDescent="0.25">
      <c r="A6" s="255">
        <v>2</v>
      </c>
      <c r="B6" s="257" t="s">
        <v>239</v>
      </c>
      <c r="C6" s="257" t="s">
        <v>241</v>
      </c>
      <c r="D6" s="258" t="s">
        <v>247</v>
      </c>
      <c r="E6" s="259">
        <v>1</v>
      </c>
      <c r="F6" s="258" t="s">
        <v>280</v>
      </c>
      <c r="G6" s="276" t="s">
        <v>250</v>
      </c>
      <c r="H6" s="254" t="s">
        <v>253</v>
      </c>
      <c r="I6" s="254" t="s">
        <v>253</v>
      </c>
      <c r="J6" s="277" t="s">
        <v>254</v>
      </c>
    </row>
    <row r="7" spans="1:10" ht="45" x14ac:dyDescent="0.25">
      <c r="A7" s="255">
        <v>3</v>
      </c>
      <c r="B7" s="257" t="s">
        <v>237</v>
      </c>
      <c r="C7" s="257" t="s">
        <v>242</v>
      </c>
      <c r="D7" s="258" t="s">
        <v>248</v>
      </c>
      <c r="E7" s="259">
        <v>1</v>
      </c>
      <c r="F7" s="258" t="s">
        <v>279</v>
      </c>
      <c r="G7" s="276" t="s">
        <v>250</v>
      </c>
      <c r="H7" s="254" t="s">
        <v>253</v>
      </c>
      <c r="I7" s="254" t="s">
        <v>253</v>
      </c>
      <c r="J7" s="277" t="s">
        <v>254</v>
      </c>
    </row>
    <row r="8" spans="1:10" ht="45" x14ac:dyDescent="0.25">
      <c r="A8" s="255">
        <v>4</v>
      </c>
      <c r="B8" s="257" t="s">
        <v>238</v>
      </c>
      <c r="C8" s="257" t="s">
        <v>241</v>
      </c>
      <c r="D8" s="258" t="s">
        <v>247</v>
      </c>
      <c r="E8" s="259">
        <v>1</v>
      </c>
      <c r="F8" s="258" t="s">
        <v>281</v>
      </c>
      <c r="G8" s="276" t="s">
        <v>250</v>
      </c>
      <c r="H8" s="254" t="s">
        <v>253</v>
      </c>
      <c r="I8" s="254" t="s">
        <v>253</v>
      </c>
      <c r="J8" s="277" t="s">
        <v>254</v>
      </c>
    </row>
    <row r="9" spans="1:10" ht="45" x14ac:dyDescent="0.25">
      <c r="A9" s="255">
        <v>5</v>
      </c>
      <c r="B9" s="257" t="s">
        <v>240</v>
      </c>
      <c r="C9" s="257" t="s">
        <v>244</v>
      </c>
      <c r="D9" s="258" t="s">
        <v>249</v>
      </c>
      <c r="E9" s="259">
        <v>2</v>
      </c>
      <c r="F9" s="258" t="s">
        <v>279</v>
      </c>
      <c r="G9" s="276" t="s">
        <v>250</v>
      </c>
      <c r="H9" s="254" t="s">
        <v>253</v>
      </c>
      <c r="I9" s="254" t="s">
        <v>253</v>
      </c>
      <c r="J9" s="277" t="s">
        <v>254</v>
      </c>
    </row>
    <row r="10" spans="1:10" ht="60" x14ac:dyDescent="0.25">
      <c r="A10" s="255">
        <v>6</v>
      </c>
      <c r="B10" s="257" t="s">
        <v>243</v>
      </c>
      <c r="C10" s="257" t="s">
        <v>245</v>
      </c>
      <c r="D10" s="258" t="s">
        <v>248</v>
      </c>
      <c r="E10" s="259">
        <v>1</v>
      </c>
      <c r="F10" s="258" t="s">
        <v>279</v>
      </c>
      <c r="G10" s="276" t="s">
        <v>250</v>
      </c>
      <c r="H10" s="254" t="s">
        <v>253</v>
      </c>
      <c r="I10" s="254" t="s">
        <v>253</v>
      </c>
      <c r="J10" s="277" t="s">
        <v>254</v>
      </c>
    </row>
  </sheetData>
  <mergeCells count="1">
    <mergeCell ref="A2:J2"/>
  </mergeCells>
  <printOptions horizontalCentered="1" verticalCentered="1"/>
  <pageMargins left="0.59055118110236227" right="0.19685039370078741" top="0.39370078740157483" bottom="0.19685039370078741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129</vt:i4>
      </vt:variant>
    </vt:vector>
  </HeadingPairs>
  <TitlesOfParts>
    <vt:vector size="138" baseType="lpstr">
      <vt:lpstr>SUMMARY</vt:lpstr>
      <vt:lpstr>ANNEXURE</vt:lpstr>
      <vt:lpstr>01_1.35 KL</vt:lpstr>
      <vt:lpstr>02 &amp; 04_0.02 KL</vt:lpstr>
      <vt:lpstr>03_0.330 KL</vt:lpstr>
      <vt:lpstr>05_0.942 KL</vt:lpstr>
      <vt:lpstr>06_0.330 KL</vt:lpstr>
      <vt:lpstr>RESIN RATE</vt:lpstr>
      <vt:lpstr>THK</vt:lpstr>
      <vt:lpstr>'01_1.35 KL'!ANGLE</vt:lpstr>
      <vt:lpstr>'02 &amp; 04_0.02 KL'!ANGLE</vt:lpstr>
      <vt:lpstr>'03_0.330 KL'!ANGLE</vt:lpstr>
      <vt:lpstr>'05_0.942 KL'!ANGLE</vt:lpstr>
      <vt:lpstr>'06_0.330 KL'!ANGLE</vt:lpstr>
      <vt:lpstr>'01_1.35 KL'!AREA</vt:lpstr>
      <vt:lpstr>'02 &amp; 04_0.02 KL'!AREA</vt:lpstr>
      <vt:lpstr>'03_0.330 KL'!AREA</vt:lpstr>
      <vt:lpstr>'05_0.942 KL'!AREA</vt:lpstr>
      <vt:lpstr>'06_0.330 KL'!AREA</vt:lpstr>
      <vt:lpstr>'01_1.35 KL'!AREA1</vt:lpstr>
      <vt:lpstr>'02 &amp; 04_0.02 KL'!AREA1</vt:lpstr>
      <vt:lpstr>'03_0.330 KL'!AREA1</vt:lpstr>
      <vt:lpstr>'05_0.942 KL'!AREA1</vt:lpstr>
      <vt:lpstr>'06_0.330 KL'!AREA1</vt:lpstr>
      <vt:lpstr>'01_1.35 KL'!B.FLG</vt:lpstr>
      <vt:lpstr>'02 &amp; 04_0.02 KL'!B.FLG</vt:lpstr>
      <vt:lpstr>'03_0.330 KL'!B.FLG</vt:lpstr>
      <vt:lpstr>'05_0.942 KL'!B.FLG</vt:lpstr>
      <vt:lpstr>'06_0.330 KL'!B.FLG</vt:lpstr>
      <vt:lpstr>'01_1.35 KL'!B.FLG.AREA</vt:lpstr>
      <vt:lpstr>'02 &amp; 04_0.02 KL'!B.FLG.AREA</vt:lpstr>
      <vt:lpstr>'03_0.330 KL'!B.FLG.AREA</vt:lpstr>
      <vt:lpstr>'05_0.942 KL'!B.FLG.AREA</vt:lpstr>
      <vt:lpstr>'06_0.330 KL'!B.FLG.AREA</vt:lpstr>
      <vt:lpstr>'01_1.35 KL'!B.FLG.FRP</vt:lpstr>
      <vt:lpstr>'02 &amp; 04_0.02 KL'!B.FLG.FRP</vt:lpstr>
      <vt:lpstr>'03_0.330 KL'!B.FLG.FRP</vt:lpstr>
      <vt:lpstr>'05_0.942 KL'!B.FLG.FRP</vt:lpstr>
      <vt:lpstr>'06_0.330 KL'!B.FLG.FRP</vt:lpstr>
      <vt:lpstr>'01_1.35 KL'!B.FLG.PP</vt:lpstr>
      <vt:lpstr>'02 &amp; 04_0.02 KL'!B.FLG.PP</vt:lpstr>
      <vt:lpstr>'03_0.330 KL'!B.FLG.PP</vt:lpstr>
      <vt:lpstr>'05_0.942 KL'!B.FLG.PP</vt:lpstr>
      <vt:lpstr>'06_0.330 KL'!B.FLG.PP</vt:lpstr>
      <vt:lpstr>'01_1.35 KL'!B.M.S.H</vt:lpstr>
      <vt:lpstr>'02 &amp; 04_0.02 KL'!B.M.S.H</vt:lpstr>
      <vt:lpstr>'03_0.330 KL'!B.M.S.H</vt:lpstr>
      <vt:lpstr>'05_0.942 KL'!B.M.S.H</vt:lpstr>
      <vt:lpstr>'06_0.330 KL'!B.M.S.H</vt:lpstr>
      <vt:lpstr>'01_1.35 KL'!B.S.H</vt:lpstr>
      <vt:lpstr>'02 &amp; 04_0.02 KL'!B.S.H</vt:lpstr>
      <vt:lpstr>'03_0.330 KL'!B.S.H</vt:lpstr>
      <vt:lpstr>'05_0.942 KL'!B.S.H</vt:lpstr>
      <vt:lpstr>'06_0.330 KL'!B.S.H</vt:lpstr>
      <vt:lpstr>'01_1.35 KL'!CFM</vt:lpstr>
      <vt:lpstr>'02 &amp; 04_0.02 KL'!CFM</vt:lpstr>
      <vt:lpstr>'03_0.330 KL'!CFM</vt:lpstr>
      <vt:lpstr>'05_0.942 KL'!CFM</vt:lpstr>
      <vt:lpstr>'06_0.330 KL'!CFM</vt:lpstr>
      <vt:lpstr>'01_1.35 KL'!COILCOST</vt:lpstr>
      <vt:lpstr>'02 &amp; 04_0.02 KL'!COILCOST</vt:lpstr>
      <vt:lpstr>'03_0.330 KL'!COILCOST</vt:lpstr>
      <vt:lpstr>'05_0.942 KL'!COILCOST</vt:lpstr>
      <vt:lpstr>'06_0.330 KL'!COILCOST</vt:lpstr>
      <vt:lpstr>'01_1.35 KL'!D.E.D</vt:lpstr>
      <vt:lpstr>'02 &amp; 04_0.02 KL'!D.E.D</vt:lpstr>
      <vt:lpstr>'03_0.330 KL'!D.E.D</vt:lpstr>
      <vt:lpstr>'05_0.942 KL'!D.E.D</vt:lpstr>
      <vt:lpstr>'06_0.330 KL'!D.E.D</vt:lpstr>
      <vt:lpstr>'01_1.35 KL'!DIA</vt:lpstr>
      <vt:lpstr>'02 &amp; 04_0.02 KL'!DIA</vt:lpstr>
      <vt:lpstr>'03_0.330 KL'!DIA</vt:lpstr>
      <vt:lpstr>'05_0.942 KL'!DIA</vt:lpstr>
      <vt:lpstr>'06_0.330 KL'!DIA</vt:lpstr>
      <vt:lpstr>'01_1.35 KL'!FRP</vt:lpstr>
      <vt:lpstr>'02 &amp; 04_0.02 KL'!FRP</vt:lpstr>
      <vt:lpstr>'03_0.330 KL'!FRP</vt:lpstr>
      <vt:lpstr>'05_0.942 KL'!FRP</vt:lpstr>
      <vt:lpstr>'06_0.330 KL'!FRP</vt:lpstr>
      <vt:lpstr>'01_1.35 KL'!FRP_AREA_PER_MM</vt:lpstr>
      <vt:lpstr>'02 &amp; 04_0.02 KL'!FRP_AREA_PER_MM</vt:lpstr>
      <vt:lpstr>'03_0.330 KL'!FRP_AREA_PER_MM</vt:lpstr>
      <vt:lpstr>'05_0.942 KL'!FRP_AREA_PER_MM</vt:lpstr>
      <vt:lpstr>'06_0.330 KL'!FRP_AREA_PER_MM</vt:lpstr>
      <vt:lpstr>'01_1.35 KL'!HT</vt:lpstr>
      <vt:lpstr>'02 &amp; 04_0.02 KL'!HT</vt:lpstr>
      <vt:lpstr>'03_0.330 KL'!HT</vt:lpstr>
      <vt:lpstr>'05_0.942 KL'!HT</vt:lpstr>
      <vt:lpstr>'06_0.330 KL'!HT</vt:lpstr>
      <vt:lpstr>'01_1.35 KL'!M.S.H</vt:lpstr>
      <vt:lpstr>'02 &amp; 04_0.02 KL'!M.S.H</vt:lpstr>
      <vt:lpstr>'03_0.330 KL'!M.S.H</vt:lpstr>
      <vt:lpstr>'05_0.942 KL'!M.S.H</vt:lpstr>
      <vt:lpstr>'06_0.330 KL'!M.S.H</vt:lpstr>
      <vt:lpstr>'01_1.35 KL'!NOZZLE</vt:lpstr>
      <vt:lpstr>'02 &amp; 04_0.02 KL'!NOZZLE</vt:lpstr>
      <vt:lpstr>'03_0.330 KL'!NOZZLE</vt:lpstr>
      <vt:lpstr>'05_0.942 KL'!NOZZLE</vt:lpstr>
      <vt:lpstr>'06_0.330 KL'!NOZZLE</vt:lpstr>
      <vt:lpstr>'01_1.35 KL'!NOZZLE1</vt:lpstr>
      <vt:lpstr>'02 &amp; 04_0.02 KL'!NOZZLE1</vt:lpstr>
      <vt:lpstr>'03_0.330 KL'!NOZZLE1</vt:lpstr>
      <vt:lpstr>'05_0.942 KL'!NOZZLE1</vt:lpstr>
      <vt:lpstr>'06_0.330 KL'!NOZZLE1</vt:lpstr>
      <vt:lpstr>'01_1.35 KL'!PP</vt:lpstr>
      <vt:lpstr>'02 &amp; 04_0.02 KL'!PP</vt:lpstr>
      <vt:lpstr>'03_0.330 KL'!PP</vt:lpstr>
      <vt:lpstr>'05_0.942 KL'!PP</vt:lpstr>
      <vt:lpstr>'06_0.330 KL'!PP</vt:lpstr>
      <vt:lpstr>'01_1.35 KL'!PP_AREA</vt:lpstr>
      <vt:lpstr>'02 &amp; 04_0.02 KL'!PP_AREA</vt:lpstr>
      <vt:lpstr>'03_0.330 KL'!PP_AREA</vt:lpstr>
      <vt:lpstr>'05_0.942 KL'!PP_AREA</vt:lpstr>
      <vt:lpstr>'06_0.330 KL'!PP_AREA</vt:lpstr>
      <vt:lpstr>'01_1.35 KL'!Print_Area</vt:lpstr>
      <vt:lpstr>'02 &amp; 04_0.02 KL'!Print_Area</vt:lpstr>
      <vt:lpstr>'03_0.330 KL'!Print_Area</vt:lpstr>
      <vt:lpstr>'05_0.942 KL'!Print_Area</vt:lpstr>
      <vt:lpstr>'06_0.330 KL'!Print_Area</vt:lpstr>
      <vt:lpstr>ANNEXURE!Print_Area</vt:lpstr>
      <vt:lpstr>'RESIN RATE'!Print_Area</vt:lpstr>
      <vt:lpstr>SUMMARY!Print_Area</vt:lpstr>
      <vt:lpstr>THK!Print_Area</vt:lpstr>
      <vt:lpstr>'01_1.35 KL'!Sq.M</vt:lpstr>
      <vt:lpstr>'02 &amp; 04_0.02 KL'!Sq.M</vt:lpstr>
      <vt:lpstr>'03_0.330 KL'!Sq.M</vt:lpstr>
      <vt:lpstr>'05_0.942 KL'!Sq.M</vt:lpstr>
      <vt:lpstr>'06_0.330 KL'!Sq.M</vt:lpstr>
      <vt:lpstr>'01_1.35 KL'!T.M.S.H</vt:lpstr>
      <vt:lpstr>'02 &amp; 04_0.02 KL'!T.M.S.H</vt:lpstr>
      <vt:lpstr>'03_0.330 KL'!T.M.S.H</vt:lpstr>
      <vt:lpstr>'05_0.942 KL'!T.M.S.H</vt:lpstr>
      <vt:lpstr>'06_0.330 KL'!T.M.S.H</vt:lpstr>
      <vt:lpstr>'01_1.35 KL'!T.S.H</vt:lpstr>
      <vt:lpstr>'02 &amp; 04_0.02 KL'!T.S.H</vt:lpstr>
      <vt:lpstr>'03_0.330 KL'!T.S.H</vt:lpstr>
      <vt:lpstr>'05_0.942 KL'!T.S.H</vt:lpstr>
      <vt:lpstr>'06_0.330 KL'!T.S.H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</dc:creator>
  <cp:lastModifiedBy>DELL</cp:lastModifiedBy>
  <cp:lastPrinted>2021-12-24T08:45:56Z</cp:lastPrinted>
  <dcterms:created xsi:type="dcterms:W3CDTF">2011-11-01T06:17:00Z</dcterms:created>
  <dcterms:modified xsi:type="dcterms:W3CDTF">2022-02-11T05:59:42Z</dcterms:modified>
</cp:coreProperties>
</file>